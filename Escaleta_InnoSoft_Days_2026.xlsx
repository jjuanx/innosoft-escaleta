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ómo se usa" sheetId="1" state="visible" r:id="rId1"/>
    <sheet xmlns:r="http://schemas.openxmlformats.org/officeDocument/2006/relationships" name="Escaleta" sheetId="2" state="visible" r:id="rId2"/>
    <sheet xmlns:r="http://schemas.openxmlformats.org/officeDocument/2006/relationships" name="Cuadrícula" sheetId="3" state="visible" r:id="rId3"/>
    <sheet xmlns:r="http://schemas.openxmlformats.org/officeDocument/2006/relationships" name="Configuración" sheetId="4" state="visible" r:id="rId4"/>
  </sheets>
  <definedNames>
    <definedName name="_xlnm._FilterDatabase" localSheetId="1" hidden="1">'Escaleta'!$A$4:$M$504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hh:mm"/>
    <numFmt numFmtId="165" formatCode="yyyy-mm-dd"/>
    <numFmt numFmtId="166" formatCode="dddd dd/mm/yyyy"/>
    <numFmt numFmtId="167" formatCode="ddd dd/mm/yyyy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BAFD4"/>
      <sz val="10"/>
    </font>
    <font>
      <name val="Arial"/>
      <b val="1"/>
      <color rgb="001F2A4A"/>
      <sz val="11"/>
    </font>
    <font>
      <name val="Arial"/>
      <color rgb="00222222"/>
      <sz val="10"/>
    </font>
    <font>
      <name val="Arial"/>
      <color rgb="001F2A4A"/>
      <sz val="10"/>
    </font>
    <font>
      <name val="Arial"/>
      <i val="1"/>
      <color rgb="006B7385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6B7385"/>
      <sz val="9"/>
    </font>
    <font>
      <name val="Arial"/>
      <b val="1"/>
      <color rgb="001F2A4A"/>
      <sz val="10"/>
    </font>
    <font>
      <name val="Arial"/>
      <b val="1"/>
      <color rgb="005A6270"/>
      <sz val="10"/>
    </font>
    <font>
      <name val="Arial"/>
      <color rgb="006B7385"/>
      <sz val="10"/>
    </font>
    <font>
      <name val="Arial"/>
      <b val="1"/>
      <color rgb="007A5A00"/>
      <sz val="10"/>
    </font>
    <font>
      <name val="Arial"/>
      <b val="1"/>
      <color rgb="001E6B34"/>
      <sz val="10"/>
    </font>
    <font>
      <name val="Arial"/>
      <b val="1"/>
      <color rgb="009B1C1C"/>
      <sz val="10"/>
    </font>
    <font>
      <name val="Arial"/>
      <color rgb="005E6675"/>
      <sz val="10"/>
    </font>
    <font>
      <name val="Arial"/>
      <b val="1"/>
      <color rgb="00222222"/>
      <sz val="10"/>
    </font>
    <font>
      <name val="Arial"/>
      <b val="1"/>
      <color rgb="00B42318"/>
      <sz val="9"/>
    </font>
    <font>
      <name val="Arial"/>
      <b val="1"/>
      <color rgb="001F2A4A"/>
      <sz val="12"/>
    </font>
    <font>
      <name val="Arial"/>
      <color rgb="006B7385"/>
      <sz val="8"/>
    </font>
    <font>
      <name val="Arial"/>
      <color rgb="00AAAAAA"/>
      <sz val="8"/>
    </font>
    <font>
      <name val="Arial"/>
      <b val="1"/>
      <color rgb="001A1F2E"/>
      <sz val="9"/>
    </font>
    <font>
      <name val="Arial"/>
      <b val="1"/>
      <color rgb="00FFFFFF"/>
      <sz val="24"/>
    </font>
    <font>
      <name val="Arial"/>
      <color rgb="007BAFD4"/>
      <sz val="13"/>
    </font>
    <font>
      <name val="Arial"/>
      <color rgb="00C9D3E3"/>
      <sz val="10"/>
    </font>
    <font>
      <name val="Arial"/>
      <b val="1"/>
      <color rgb="001F2A4A"/>
      <sz val="13"/>
    </font>
    <font>
      <name val="Arial"/>
      <color rgb="00333333"/>
      <sz val="10"/>
    </font>
  </fonts>
  <fills count="23">
    <fill>
      <patternFill/>
    </fill>
    <fill>
      <patternFill patternType="gray125"/>
    </fill>
    <fill>
      <patternFill patternType="solid">
        <fgColor rgb="001F2A4A"/>
        <bgColor rgb="001F2A4A"/>
      </patternFill>
    </fill>
    <fill>
      <patternFill patternType="solid">
        <fgColor rgb="00EAAA02"/>
        <bgColor rgb="00EAAA02"/>
      </patternFill>
    </fill>
    <fill>
      <patternFill patternType="solid">
        <fgColor rgb="00FFFFFF"/>
        <bgColor rgb="00FFFFFF"/>
      </patternFill>
    </fill>
    <fill>
      <patternFill patternType="solid">
        <fgColor rgb="00464646"/>
        <bgColor rgb="00464646"/>
      </patternFill>
    </fill>
    <fill>
      <patternFill patternType="solid">
        <fgColor rgb="00D3D8E6"/>
        <bgColor rgb="00D3D8E6"/>
      </patternFill>
    </fill>
    <fill>
      <patternFill patternType="solid">
        <fgColor rgb="00E3E3E3"/>
        <bgColor rgb="00E3E3E3"/>
      </patternFill>
    </fill>
    <fill>
      <patternFill patternType="solid">
        <fgColor rgb="007BAFD4"/>
        <bgColor rgb="007BAFD4"/>
      </patternFill>
    </fill>
    <fill>
      <patternFill patternType="solid">
        <fgColor rgb="00DCEAF5"/>
        <bgColor rgb="00DCEAF5"/>
      </patternFill>
    </fill>
    <fill>
      <patternFill patternType="solid">
        <fgColor rgb="00FCEBC0"/>
        <bgColor rgb="00FCEBC0"/>
      </patternFill>
    </fill>
    <fill>
      <patternFill patternType="solid">
        <fgColor rgb="002FA6A0"/>
        <bgColor rgb="002FA6A0"/>
      </patternFill>
    </fill>
    <fill>
      <patternFill patternType="solid">
        <fgColor rgb="00CDEDEB"/>
        <bgColor rgb="00CDEDEB"/>
      </patternFill>
    </fill>
    <fill>
      <patternFill patternType="solid">
        <fgColor rgb="004C9A5F"/>
        <bgColor rgb="004C9A5F"/>
      </patternFill>
    </fill>
    <fill>
      <patternFill patternType="solid">
        <fgColor rgb="00D5EDDB"/>
        <bgColor rgb="00D5EDDB"/>
      </patternFill>
    </fill>
    <fill>
      <patternFill patternType="solid">
        <fgColor rgb="007E5BB5"/>
        <bgColor rgb="007E5BB5"/>
      </patternFill>
    </fill>
    <fill>
      <patternFill patternType="solid">
        <fgColor rgb="00E3DAF2"/>
        <bgColor rgb="00E3DAF2"/>
      </patternFill>
    </fill>
    <fill>
      <patternFill patternType="solid">
        <fgColor rgb="00ECEFF3"/>
        <bgColor rgb="00ECEFF3"/>
      </patternFill>
    </fill>
    <fill>
      <patternFill patternType="solid">
        <fgColor rgb="00F6D5D5"/>
        <bgColor rgb="00F6D5D5"/>
      </patternFill>
    </fill>
    <fill>
      <patternFill patternType="solid">
        <fgColor rgb="005E6675"/>
        <bgColor rgb="005E6675"/>
      </patternFill>
    </fill>
    <fill>
      <patternFill patternType="solid">
        <fgColor rgb="00F4F6FA"/>
        <bgColor rgb="00F4F6FA"/>
      </patternFill>
    </fill>
    <fill>
      <patternFill patternType="solid">
        <fgColor rgb="00FFF6DA"/>
        <bgColor rgb="00FFF6DA"/>
      </patternFill>
    </fill>
    <fill>
      <patternFill patternType="solid">
        <fgColor rgb="00EAF2F9"/>
        <bgColor rgb="00EAF2F9"/>
      </patternFill>
    </fill>
  </fills>
  <borders count="9">
    <border>
      <left/>
      <right/>
      <top/>
      <bottom/>
      <diagonal/>
    </border>
    <border>
      <bottom style="medium">
        <color rgb="00EAAA02"/>
      </bottom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bottom style="thin">
        <color rgb="00E4E8EE"/>
      </bottom>
    </border>
    <border>
      <left style="medium">
        <color rgb="00EAAA02"/>
      </left>
      <right style="thin">
        <color rgb="00D5DCE6"/>
      </right>
      <top style="thin">
        <color rgb="00D5DCE6"/>
      </top>
      <bottom style="thin">
        <color rgb="00D5DCE6"/>
      </bottom>
    </border>
    <border>
      <left/>
      <right/>
      <top style="thin">
        <color rgb="00D5DCE6"/>
      </top>
      <bottom/>
      <diagonal/>
    </border>
    <border>
      <left/>
      <right style="thin">
        <color rgb="00D5DCE6"/>
      </right>
      <top style="thin">
        <color rgb="00D5DCE6"/>
      </top>
      <bottom/>
      <diagonal/>
    </border>
    <border>
      <left/>
      <right style="thin">
        <color rgb="00D5DCE6"/>
      </right>
      <top style="thin">
        <color rgb="00D5DCE6"/>
      </top>
      <bottom style="thin">
        <color rgb="00D5DCE6"/>
      </bottom>
      <diagonal/>
    </border>
    <border>
      <left style="thin">
        <color rgb="00E4E8EE"/>
      </left>
      <right style="thin">
        <color rgb="00E4E8EE"/>
      </right>
      <bottom style="hair">
        <color rgb="00EEF1F5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23" fillId="2" borderId="0" pivotButton="0" quotePrefix="0" xfId="0"/>
    <xf numFmtId="0" fontId="24" fillId="2" borderId="0" pivotButton="0" quotePrefix="0" xfId="0"/>
    <xf numFmtId="0" fontId="25" fillId="2" borderId="0" pivotButton="0" quotePrefix="0" xfId="0"/>
    <xf numFmtId="0" fontId="0" fillId="3" borderId="0" pivotButton="0" quotePrefix="0" xfId="0"/>
    <xf numFmtId="0" fontId="26" fillId="0" borderId="0" pivotButton="0" quotePrefix="0" xfId="0"/>
    <xf numFmtId="0" fontId="10" fillId="22" borderId="3" applyAlignment="1" pivotButton="0" quotePrefix="0" xfId="0">
      <alignment vertical="top" indent="1"/>
    </xf>
    <xf numFmtId="0" fontId="27" fillId="0" borderId="3" applyAlignment="1" pivotButton="0" quotePrefix="0" xfId="0">
      <alignment vertical="top" wrapText="1"/>
    </xf>
    <xf numFmtId="0" fontId="0" fillId="0" borderId="3" pivotButton="0" quotePrefix="0" xfId="0"/>
    <xf numFmtId="0" fontId="10" fillId="6" borderId="0" applyAlignment="1" pivotButton="0" quotePrefix="0" xfId="0">
      <alignment vertical="center" indent="1"/>
    </xf>
    <xf numFmtId="0" fontId="27" fillId="0" borderId="0" applyAlignment="1" pivotButton="0" quotePrefix="0" xfId="0">
      <alignment vertical="center" indent="1"/>
    </xf>
    <xf numFmtId="0" fontId="0" fillId="5" borderId="0" pivotButton="0" quotePrefix="0" xfId="0"/>
    <xf numFmtId="0" fontId="10" fillId="7" borderId="0" applyAlignment="1" pivotButton="0" quotePrefix="0" xfId="0">
      <alignment vertical="center" indent="1"/>
    </xf>
    <xf numFmtId="0" fontId="0" fillId="8" borderId="0" pivotButton="0" quotePrefix="0" xfId="0"/>
    <xf numFmtId="0" fontId="10" fillId="9" borderId="0" applyAlignment="1" pivotButton="0" quotePrefix="0" xfId="0">
      <alignment vertical="center" indent="1"/>
    </xf>
    <xf numFmtId="0" fontId="10" fillId="10" borderId="0" applyAlignment="1" pivotButton="0" quotePrefix="0" xfId="0">
      <alignment vertical="center" indent="1"/>
    </xf>
    <xf numFmtId="0" fontId="0" fillId="11" borderId="0" pivotButton="0" quotePrefix="0" xfId="0"/>
    <xf numFmtId="0" fontId="10" fillId="12" borderId="0" applyAlignment="1" pivotButton="0" quotePrefix="0" xfId="0">
      <alignment vertical="center" indent="1"/>
    </xf>
    <xf numFmtId="0" fontId="0" fillId="13" borderId="0" pivotButton="0" quotePrefix="0" xfId="0"/>
    <xf numFmtId="0" fontId="10" fillId="14" borderId="0" applyAlignment="1" pivotButton="0" quotePrefix="0" xfId="0">
      <alignment vertical="center" indent="1"/>
    </xf>
    <xf numFmtId="0" fontId="0" fillId="15" borderId="0" pivotButton="0" quotePrefix="0" xfId="0"/>
    <xf numFmtId="0" fontId="10" fillId="16" borderId="0" applyAlignment="1" pivotButton="0" quotePrefix="0" xfId="0">
      <alignment vertical="center" indent="1"/>
    </xf>
    <xf numFmtId="0" fontId="11" fillId="17" borderId="0" applyAlignment="1" pivotButton="0" quotePrefix="0" xfId="0">
      <alignment vertical="center" indent="1"/>
    </xf>
    <xf numFmtId="0" fontId="13" fillId="10" borderId="0" applyAlignment="1" pivotButton="0" quotePrefix="0" xfId="0">
      <alignment vertical="center" indent="1"/>
    </xf>
    <xf numFmtId="0" fontId="14" fillId="14" borderId="0" applyAlignment="1" pivotButton="0" quotePrefix="0" xfId="0">
      <alignment vertical="center" indent="1"/>
    </xf>
    <xf numFmtId="0" fontId="15" fillId="18" borderId="0" applyAlignment="1" pivotButton="0" quotePrefix="0" xfId="0">
      <alignment vertical="center" indent="1"/>
    </xf>
    <xf numFmtId="0" fontId="6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indent="1"/>
    </xf>
    <xf numFmtId="0" fontId="8" fillId="5" borderId="0" applyAlignment="1" pivotButton="0" quotePrefix="0" xfId="0">
      <alignment horizontal="center" vertical="center" wrapText="1"/>
    </xf>
    <xf numFmtId="0" fontId="8" fillId="19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 indent="1"/>
    </xf>
    <xf numFmtId="0" fontId="8" fillId="19" borderId="0" applyAlignment="1" pivotButton="0" quotePrefix="0" xfId="0">
      <alignment horizontal="left" vertical="center" wrapText="1" indent="1"/>
    </xf>
    <xf numFmtId="167" fontId="4" fillId="0" borderId="3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164" fontId="16" fillId="2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left" vertical="center" indent="1"/>
    </xf>
    <xf numFmtId="0" fontId="4" fillId="0" borderId="3" applyAlignment="1" pivotButton="0" quotePrefix="0" xfId="0">
      <alignment horizontal="left" vertical="center" indent="1"/>
    </xf>
    <xf numFmtId="0" fontId="4" fillId="0" borderId="3" applyAlignment="1" pivotButton="0" quotePrefix="0" xfId="0">
      <alignment horizontal="left" vertical="center" wrapText="1" indent="1"/>
    </xf>
    <xf numFmtId="0" fontId="18" fillId="20" borderId="3" applyAlignment="1" pivotButton="0" quotePrefix="0" xfId="0">
      <alignment horizontal="left" vertical="center" indent="1"/>
    </xf>
    <xf numFmtId="0" fontId="10" fillId="0" borderId="0" applyAlignment="1" pivotButton="0" quotePrefix="0" xfId="0">
      <alignment vertical="center"/>
    </xf>
    <xf numFmtId="166" fontId="19" fillId="21" borderId="4" applyAlignment="1" pivotButton="0" quotePrefix="0" xfId="0">
      <alignment horizontal="left" vertical="center" indent="1"/>
    </xf>
    <xf numFmtId="0" fontId="0" fillId="0" borderId="7" pivotButton="0" quotePrefix="0" xfId="0"/>
    <xf numFmtId="0" fontId="8" fillId="2" borderId="0" applyAlignment="1" pivotButton="0" quotePrefix="0" xfId="0">
      <alignment horizontal="center" vertical="center"/>
    </xf>
    <xf numFmtId="0" fontId="20" fillId="0" borderId="0" pivotButton="0" quotePrefix="0" xfId="0"/>
    <xf numFmtId="164" fontId="9" fillId="0" borderId="0" applyAlignment="1" pivotButton="0" quotePrefix="0" xfId="0">
      <alignment horizontal="center" vertical="top"/>
    </xf>
    <xf numFmtId="0" fontId="22" fillId="0" borderId="8" applyAlignment="1" pivotButton="0" quotePrefix="0" xfId="0">
      <alignment vertical="top" indent="1"/>
    </xf>
    <xf numFmtId="0" fontId="21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164" fontId="5" fillId="4" borderId="2" applyAlignment="1" pivotButton="0" quotePrefix="0" xfId="0">
      <alignment horizontal="left" indent="1"/>
    </xf>
    <xf numFmtId="0" fontId="7" fillId="5" borderId="0" applyAlignment="1" pivotButton="0" quotePrefix="0" xfId="0">
      <alignment vertical="center" indent="1"/>
    </xf>
    <xf numFmtId="166" fontId="5" fillId="4" borderId="2" applyAlignment="1" pivotButton="0" quotePrefix="0" xfId="0">
      <alignment horizontal="left" indent="1"/>
    </xf>
    <xf numFmtId="1" fontId="5" fillId="4" borderId="2" applyAlignment="1" pivotButton="0" quotePrefix="0" xfId="0">
      <alignment horizontal="left" indent="1"/>
    </xf>
    <xf numFmtId="0" fontId="8" fillId="2" borderId="2" applyAlignment="1" pivotButton="0" quotePrefix="0" xfId="0">
      <alignment vertical="center" indent="1"/>
    </xf>
    <xf numFmtId="0" fontId="5" fillId="4" borderId="2" applyAlignment="1" pivotButton="0" quotePrefix="0" xfId="0">
      <alignment vertical="center" indent="1"/>
    </xf>
    <xf numFmtId="0" fontId="9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vertical="center" indent="1"/>
    </xf>
    <xf numFmtId="0" fontId="9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vertical="center" indent="1"/>
    </xf>
    <xf numFmtId="0" fontId="9" fillId="9" borderId="2" applyAlignment="1" pivotButton="0" quotePrefix="0" xfId="0">
      <alignment horizontal="center" vertical="center"/>
    </xf>
    <xf numFmtId="0" fontId="10" fillId="3" borderId="2" applyAlignment="1" pivotButton="0" quotePrefix="0" xfId="0">
      <alignment vertical="center" indent="1"/>
    </xf>
    <xf numFmtId="0" fontId="9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vertical="center" indent="1"/>
    </xf>
    <xf numFmtId="0" fontId="9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vertical="center" indent="1"/>
    </xf>
    <xf numFmtId="0" fontId="9" fillId="14" borderId="2" applyAlignment="1" pivotButton="0" quotePrefix="0" xfId="0">
      <alignment horizontal="center" vertical="center"/>
    </xf>
    <xf numFmtId="0" fontId="8" fillId="15" borderId="2" applyAlignment="1" pivotButton="0" quotePrefix="0" xfId="0">
      <alignment vertical="center" indent="1"/>
    </xf>
    <xf numFmtId="0" fontId="9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indent="1"/>
    </xf>
    <xf numFmtId="0" fontId="12" fillId="0" borderId="2" applyAlignment="1" pivotButton="0" quotePrefix="0" xfId="0">
      <alignment indent="1"/>
    </xf>
    <xf numFmtId="0" fontId="13" fillId="10" borderId="2" applyAlignment="1" pivotButton="0" quotePrefix="0" xfId="0">
      <alignment indent="1"/>
    </xf>
    <xf numFmtId="0" fontId="14" fillId="14" borderId="2" applyAlignment="1" pivotButton="0" quotePrefix="0" xfId="0">
      <alignment indent="1"/>
    </xf>
    <xf numFmtId="0" fontId="15" fillId="18" borderId="2" applyAlignment="1" pivotButton="0" quotePrefix="0" xfId="0">
      <alignment indent="1"/>
    </xf>
  </cellXfs>
  <cellStyles count="1">
    <cellStyle name="Normal" xfId="0" builtinId="0" hidden="0"/>
  </cellStyles>
  <dxfs count="23">
    <dxf>
      <font>
        <strike val="1"/>
        <color rgb="009AA1AD"/>
      </font>
    </dxf>
    <dxf>
      <font>
        <b val="1"/>
        <color rgb="00FFFFFF"/>
      </font>
      <fill>
        <patternFill patternType="solid">
          <fgColor rgb="001F2A4A"/>
          <bgColor rgb="001F2A4A"/>
        </patternFill>
      </fill>
    </dxf>
    <dxf>
      <font>
        <b val="1"/>
        <color rgb="00FFFFFF"/>
      </font>
      <fill>
        <patternFill patternType="solid">
          <fgColor rgb="00464646"/>
          <bgColor rgb="00464646"/>
        </patternFill>
      </fill>
    </dxf>
    <dxf>
      <font>
        <b val="1"/>
        <color rgb="001F2A4A"/>
      </font>
      <fill>
        <patternFill patternType="solid">
          <fgColor rgb="007BAFD4"/>
          <bgColor rgb="007BAFD4"/>
        </patternFill>
      </fill>
    </dxf>
    <dxf>
      <font>
        <b val="1"/>
        <color rgb="001F2A4A"/>
      </font>
      <fill>
        <patternFill patternType="solid">
          <fgColor rgb="00EAAA02"/>
          <bgColor rgb="00EAAA02"/>
        </patternFill>
      </fill>
    </dxf>
    <dxf>
      <font>
        <b val="1"/>
        <color rgb="00FFFFFF"/>
      </font>
      <fill>
        <patternFill patternType="solid">
          <fgColor rgb="002FA6A0"/>
          <bgColor rgb="002FA6A0"/>
        </patternFill>
      </fill>
    </dxf>
    <dxf>
      <font>
        <b val="1"/>
        <color rgb="00FFFFFF"/>
      </font>
      <fill>
        <patternFill patternType="solid">
          <fgColor rgb="004C9A5F"/>
          <bgColor rgb="004C9A5F"/>
        </patternFill>
      </fill>
    </dxf>
    <dxf>
      <font>
        <b val="1"/>
        <color rgb="00FFFFFF"/>
      </font>
      <fill>
        <patternFill patternType="solid">
          <fgColor rgb="007E5BB5"/>
          <bgColor rgb="007E5BB5"/>
        </patternFill>
      </fill>
    </dxf>
    <dxf>
      <font>
        <b val="1"/>
        <color rgb="005A6270"/>
      </font>
      <fill>
        <patternFill patternType="solid">
          <fgColor rgb="00ECEFF3"/>
          <bgColor rgb="00ECEFF3"/>
        </patternFill>
      </fill>
    </dxf>
    <dxf>
      <font>
        <b val="1"/>
        <color rgb="007A5A00"/>
      </font>
      <fill>
        <patternFill patternType="solid">
          <fgColor rgb="00FCEBC0"/>
          <bgColor rgb="00FCEBC0"/>
        </patternFill>
      </fill>
    </dxf>
    <dxf>
      <font>
        <b val="1"/>
        <color rgb="001E6B34"/>
      </font>
      <fill>
        <patternFill patternType="solid">
          <fgColor rgb="00D5EDDB"/>
          <bgColor rgb="00D5EDDB"/>
        </patternFill>
      </fill>
    </dxf>
    <dxf>
      <font>
        <b val="1"/>
        <color rgb="009B1C1C"/>
      </font>
      <fill>
        <patternFill patternType="solid">
          <fgColor rgb="00F6D5D5"/>
          <bgColor rgb="00F6D5D5"/>
        </patternFill>
      </fill>
    </dxf>
    <dxf>
      <fill>
        <patternFill patternType="solid">
          <fgColor rgb="00FDE7E7"/>
          <bgColor rgb="00FDE7E7"/>
        </patternFill>
      </fill>
    </dxf>
    <dxf>
      <fill>
        <patternFill patternType="solid">
          <fgColor rgb="00EAF2F9"/>
          <bgColor rgb="00EAF2F9"/>
        </patternFill>
      </fill>
    </dxf>
    <dxf>
      <fill>
        <patternFill patternType="solid">
          <fgColor rgb="00D3D8E6"/>
          <bgColor rgb="00D3D8E6"/>
        </patternFill>
      </fill>
    </dxf>
    <dxf>
      <fill>
        <patternFill patternType="solid">
          <fgColor rgb="00E3E3E3"/>
          <bgColor rgb="00E3E3E3"/>
        </patternFill>
      </fill>
    </dxf>
    <dxf>
      <fill>
        <patternFill patternType="solid">
          <fgColor rgb="00DCEAF5"/>
          <bgColor rgb="00DCEAF5"/>
        </patternFill>
      </fill>
    </dxf>
    <dxf>
      <fill>
        <patternFill patternType="solid">
          <fgColor rgb="00FCEBC0"/>
          <bgColor rgb="00FCEBC0"/>
        </patternFill>
      </fill>
    </dxf>
    <dxf>
      <fill>
        <patternFill patternType="solid">
          <fgColor rgb="00CDEDEB"/>
          <bgColor rgb="00CDEDEB"/>
        </patternFill>
      </fill>
    </dxf>
    <dxf>
      <fill>
        <patternFill patternType="solid">
          <fgColor rgb="00D5EDDB"/>
          <bgColor rgb="00D5EDDB"/>
        </patternFill>
      </fill>
    </dxf>
    <dxf>
      <fill>
        <patternFill patternType="solid">
          <fgColor rgb="00E3DAF2"/>
          <bgColor rgb="00E3DAF2"/>
        </patternFill>
      </fill>
    </dxf>
    <dxf>
      <fill>
        <patternFill patternType="solid">
          <fgColor rgb="00ECEFF3"/>
          <bgColor rgb="00ECEFF3"/>
        </patternFill>
      </fill>
    </dxf>
    <dxf>
      <font>
        <b val="1"/>
        <color rgb="001F2A4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66800" cy="1066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AAA02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30" customWidth="1" min="4" max="4"/>
    <col width="3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3" ht="34" customHeight="1">
      <c r="A3" s="1" t="n"/>
      <c r="B3" s="1" t="n"/>
      <c r="C3" s="2" t="inlineStr">
        <is>
          <t>InnoSoft Days 2026</t>
        </is>
      </c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22" customHeight="1">
      <c r="A5" s="1" t="n"/>
      <c r="B5" s="1" t="n"/>
      <c r="C5" s="3" t="inlineStr">
        <is>
          <t>Escaleta compartida del Comité de Dirección</t>
        </is>
      </c>
      <c r="D5" s="1" t="n"/>
      <c r="E5" s="1" t="n"/>
      <c r="F5" s="1" t="n"/>
    </row>
    <row r="6" ht="22" customHeight="1">
      <c r="A6" s="1" t="n"/>
      <c r="B6" s="1" t="n"/>
      <c r="C6" s="4" t="inlineStr">
        <is>
          <t>14ª edición · 16, 17 y 18 de noviembre de 2026 · 50 aniversario de los estudios de Informática (1976–2026)</t>
        </is>
      </c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 ht="5" customHeight="1">
      <c r="A9" s="5" t="n"/>
      <c r="B9" s="5" t="n"/>
      <c r="C9" s="5" t="n"/>
      <c r="D9" s="5" t="n"/>
      <c r="E9" s="5" t="n"/>
      <c r="F9" s="5" t="n"/>
    </row>
    <row r="11">
      <c r="B11" s="6" t="inlineStr">
        <is>
          <t>Cómo funciona</t>
        </is>
      </c>
    </row>
    <row r="12" ht="44" customHeight="1">
      <c r="B12" s="7" t="inlineStr">
        <is>
          <t>Escaleta</t>
        </is>
      </c>
      <c r="C12" s="8" t="inlineStr">
        <is>
          <t>Es la lista maestra. Una fila por actividad, reunión o plazo, de cualquier día del curso. Es lo único que se edita a mano.</t>
        </is>
      </c>
      <c r="D12" s="9" t="n"/>
      <c r="E12" s="9" t="n"/>
    </row>
    <row r="13" ht="44" customHeight="1">
      <c r="B13" s="7" t="inlineStr">
        <is>
          <t>Hora fija</t>
        </is>
      </c>
      <c r="C13" s="8" t="inlineStr">
        <is>
          <t>Escríbela solo en la primera actividad del día o cuando algo deba empezar a una hora concreta. Si la dejas vacía, la actividad empieza cuando acaba la fila anterior del mismo día, así que cambiar una duración mueve todo lo que va detrás.</t>
        </is>
      </c>
      <c r="D13" s="9" t="n"/>
      <c r="E13" s="9" t="n"/>
    </row>
    <row r="14" ht="30" customHeight="1">
      <c r="B14" s="7" t="inlineStr">
        <is>
          <t>Duración</t>
        </is>
      </c>
      <c r="C14" s="8" t="inlineStr">
        <is>
          <t>En minutos exactos (7, 12, 45…). Inicio y Fin se calculan solos.</t>
        </is>
      </c>
      <c r="D14" s="9" t="n"/>
      <c r="E14" s="9" t="n"/>
    </row>
    <row r="15" ht="30" customHeight="1">
      <c r="B15" s="7" t="inlineStr">
        <is>
          <t>Aviso</t>
        </is>
      </c>
      <c r="C15" s="8" t="inlineStr">
        <is>
          <t>Sale en rojo si dos actividades no canceladas ocupan la misma sala a la vez.</t>
        </is>
      </c>
      <c r="D15" s="9" t="n"/>
      <c r="E15" s="9" t="n"/>
    </row>
    <row r="16" ht="44" customHeight="1">
      <c r="B16" s="7" t="inlineStr">
        <is>
          <t>Cuadrícula</t>
        </is>
      </c>
      <c r="C16" s="8" t="inlineStr">
        <is>
          <t>Elige un día en la celda amarilla y verás cada sala como una columna, en franjas del tamaño que marques en Configuración (5, 10, 15, 30 o 60 min).</t>
        </is>
      </c>
      <c r="D16" s="9" t="n"/>
      <c r="E16" s="9" t="n"/>
    </row>
    <row r="17" ht="44" customHeight="1">
      <c r="B17" s="7" t="inlineStr">
        <is>
          <t>Configuración</t>
        </is>
      </c>
      <c r="C17" s="8" t="inlineStr">
        <is>
          <t>Comités, coordinación, salas, estados, tipos y horario del día. Las salas y los días que añadas aparecen solos en los desplegables y en la cuadrícula.</t>
        </is>
      </c>
      <c r="D17" s="9" t="n"/>
      <c r="E17" s="9" t="n"/>
    </row>
    <row r="18" ht="44" customHeight="1">
      <c r="B18" s="7" t="inlineStr">
        <is>
          <t>Notas</t>
        </is>
      </c>
      <c r="C18" s="8" t="inlineStr">
        <is>
          <t>Usa la columna Notas para el detalle de cada franja, y los comentarios de Google Sheets (mencionando con @) para preguntar o avisar a alguien.</t>
        </is>
      </c>
      <c r="D18" s="9" t="n"/>
      <c r="E18" s="9" t="n"/>
    </row>
    <row r="21">
      <c r="B21" s="6" t="inlineStr">
        <is>
          <t>Comités</t>
        </is>
      </c>
    </row>
    <row r="22" ht="20" customHeight="1">
      <c r="B22" s="1" t="inlineStr"/>
      <c r="C22" s="10" t="inlineStr">
        <is>
          <t>Dirección / Presidencia</t>
        </is>
      </c>
      <c r="D22" s="11">
        <f>IF(Configuración!$C$12="","Por asignar",Configuración!$C$12)</f>
        <v/>
      </c>
    </row>
    <row r="23" ht="20" customHeight="1">
      <c r="B23" s="12" t="inlineStr"/>
      <c r="C23" s="13" t="inlineStr">
        <is>
          <t>Secretaría General</t>
        </is>
      </c>
      <c r="D23" s="11">
        <f>IF(Configuración!$C$13="","Por asignar",Configuración!$C$13)</f>
        <v/>
      </c>
    </row>
    <row r="24" ht="20" customHeight="1">
      <c r="B24" s="14" t="inlineStr"/>
      <c r="C24" s="15" t="inlineStr">
        <is>
          <t>Programa</t>
        </is>
      </c>
      <c r="D24" s="11">
        <f>IF(Configuración!$C$14="","Por asignar",Configuración!$C$14)</f>
        <v/>
      </c>
    </row>
    <row r="25" ht="20" customHeight="1">
      <c r="B25" s="5" t="inlineStr"/>
      <c r="C25" s="16" t="inlineStr">
        <is>
          <t>Logística</t>
        </is>
      </c>
      <c r="D25" s="11">
        <f>IF(Configuración!$C$15="","Por asignar",Configuración!$C$15)</f>
        <v/>
      </c>
    </row>
    <row r="26" ht="20" customHeight="1">
      <c r="B26" s="17" t="inlineStr"/>
      <c r="C26" s="18" t="inlineStr">
        <is>
          <t>Comunicación</t>
        </is>
      </c>
      <c r="D26" s="11">
        <f>IF(Configuración!$C$16="","Por asignar",Configuración!$C$16)</f>
        <v/>
      </c>
    </row>
    <row r="27" ht="20" customHeight="1">
      <c r="B27" s="19" t="inlineStr"/>
      <c r="C27" s="20" t="inlineStr">
        <is>
          <t>Finanzas</t>
        </is>
      </c>
      <c r="D27" s="11">
        <f>IF(Configuración!$C$17="","Por asignar",Configuración!$C$17)</f>
        <v/>
      </c>
    </row>
    <row r="28" ht="20" customHeight="1">
      <c r="B28" s="21" t="inlineStr"/>
      <c r="C28" s="22" t="inlineStr">
        <is>
          <t>Igualdad y Sostenibilidad</t>
        </is>
      </c>
      <c r="D28" s="11">
        <f>IF(Configuración!$C$18="","Por asignar",Configuración!$C$18)</f>
        <v/>
      </c>
    </row>
    <row r="31">
      <c r="B31" s="6" t="inlineStr">
        <is>
          <t>Estados</t>
        </is>
      </c>
    </row>
    <row r="32" ht="20" customHeight="1">
      <c r="C32" s="23" t="inlineStr">
        <is>
          <t>Borrador</t>
        </is>
      </c>
      <c r="D32" s="11" t="inlineStr">
        <is>
          <t>Idea en preparación, aún no se ha propuesto</t>
        </is>
      </c>
    </row>
    <row r="33" ht="20" customHeight="1">
      <c r="C33" s="24" t="inlineStr">
        <is>
          <t>Pendiente de visto bueno</t>
        </is>
      </c>
      <c r="D33" s="11" t="inlineStr">
        <is>
          <t>Propuesta enviada a Presidencia, esperando visto bueno</t>
        </is>
      </c>
    </row>
    <row r="34" ht="20" customHeight="1">
      <c r="C34" s="25" t="inlineStr">
        <is>
          <t>Confirmada</t>
        </is>
      </c>
      <c r="D34" s="11" t="inlineStr">
        <is>
          <t>Aprobada y lista para anunciar</t>
        </is>
      </c>
    </row>
    <row r="35" ht="20" customHeight="1">
      <c r="C35" s="26" t="inlineStr">
        <is>
          <t>Cancelada</t>
        </is>
      </c>
      <c r="D35" s="11" t="inlineStr">
        <is>
          <t>Se mantiene para el historial, no ocupa sala</t>
        </is>
      </c>
    </row>
    <row r="38">
      <c r="B38" s="27" t="inlineStr">
        <is>
          <t>Para cambiar un color o el nombre de un comité o estado: Formato &gt; Formato condicional en las hojas Escaleta y Cuadrícula.</t>
        </is>
      </c>
    </row>
  </sheetData>
  <mergeCells count="18">
    <mergeCell ref="C16:E16"/>
    <mergeCell ref="D25:E25"/>
    <mergeCell ref="C14:E14"/>
    <mergeCell ref="D24:E24"/>
    <mergeCell ref="C13:E13"/>
    <mergeCell ref="D33:E33"/>
    <mergeCell ref="D34:E34"/>
    <mergeCell ref="D27:E27"/>
    <mergeCell ref="C15:E15"/>
    <mergeCell ref="D23:E23"/>
    <mergeCell ref="C18:E18"/>
    <mergeCell ref="D28:E28"/>
    <mergeCell ref="C17:E17"/>
    <mergeCell ref="D32:E32"/>
    <mergeCell ref="D22:E22"/>
    <mergeCell ref="D26:E26"/>
    <mergeCell ref="C12:E12"/>
    <mergeCell ref="D35:E3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2A4A"/>
    <outlinePr summaryBelow="1" summaryRight="1"/>
    <pageSetUpPr/>
  </sheetPr>
  <dimension ref="A1:M5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0" customWidth="1" min="4" max="4"/>
    <col width="9" customWidth="1" min="5" max="5"/>
    <col width="40" customWidth="1" min="6" max="6"/>
    <col width="17" customWidth="1" min="7" max="7"/>
    <col width="15" customWidth="1" min="8" max="8"/>
    <col width="23" customWidth="1" min="9" max="9"/>
    <col width="24" customWidth="1" min="10" max="10"/>
    <col width="25" customWidth="1" min="11" max="11"/>
    <col width="48" customWidth="1" min="12" max="12"/>
    <col width="30" customWidth="1" min="13" max="13"/>
  </cols>
  <sheetData>
    <row r="1" ht="42" customHeight="1">
      <c r="A1" s="28" t="inlineStr">
        <is>
          <t>InnoSoft Days 2026 · Escaleta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9" t="inlineStr">
        <is>
          <t>14ª edición · 50 aniversario de los estudios de Informática</t>
        </is>
      </c>
    </row>
    <row r="2" ht="5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 ht="22" customHeight="1">
      <c r="A3" s="30" t="inlineStr">
        <is>
          <t>Una fila por actividad. Si dejas vacía la «Hora fija», empieza justo cuando termina la fila anterior del mismo día. Las columnas en gris se calculan solas.</t>
        </is>
      </c>
    </row>
    <row r="4" ht="30" customHeight="1">
      <c r="A4" s="31" t="inlineStr">
        <is>
          <t>Día</t>
        </is>
      </c>
      <c r="B4" s="31" t="inlineStr">
        <is>
          <t>Hora fija</t>
        </is>
      </c>
      <c r="C4" s="32" t="inlineStr">
        <is>
          <t>Inicio</t>
        </is>
      </c>
      <c r="D4" s="31" t="inlineStr">
        <is>
          <t>Duración (min)</t>
        </is>
      </c>
      <c r="E4" s="32" t="inlineStr">
        <is>
          <t>Fin</t>
        </is>
      </c>
      <c r="F4" s="33" t="inlineStr">
        <is>
          <t>Actividad</t>
        </is>
      </c>
      <c r="G4" s="33" t="inlineStr">
        <is>
          <t>Tipo</t>
        </is>
      </c>
      <c r="H4" s="33" t="inlineStr">
        <is>
          <t>Sala</t>
        </is>
      </c>
      <c r="I4" s="33" t="inlineStr">
        <is>
          <t>Comité</t>
        </is>
      </c>
      <c r="J4" s="33" t="inlineStr">
        <is>
          <t>Responsable</t>
        </is>
      </c>
      <c r="K4" s="33" t="inlineStr">
        <is>
          <t>Estado</t>
        </is>
      </c>
      <c r="L4" s="33" t="inlineStr">
        <is>
          <t>Notas</t>
        </is>
      </c>
      <c r="M4" s="34" t="inlineStr">
        <is>
          <t>Aviso</t>
        </is>
      </c>
    </row>
    <row r="5" ht="21" customHeight="1">
      <c r="A5" s="35" t="n">
        <v>46342</v>
      </c>
      <c r="B5" s="36" t="n">
        <v>0.375</v>
      </c>
      <c r="C5" s="37">
        <f>IF($A5="","",IF($B5&lt;&gt;"",$B5,IF($A5=$A4,$E4,Configuración!$C$5)))</f>
        <v/>
      </c>
      <c r="D5" s="38" t="n">
        <v>30</v>
      </c>
      <c r="E5" s="37">
        <f>IF(OR($C5="",$D5=""),"",$C5+$D5/1440)</f>
        <v/>
      </c>
      <c r="F5" s="39" t="inlineStr">
        <is>
          <t>Acreditación y bienvenida</t>
        </is>
      </c>
      <c r="G5" s="40" t="inlineStr">
        <is>
          <t>Otro</t>
        </is>
      </c>
      <c r="H5" s="40" t="inlineStr">
        <is>
          <t>Hall</t>
        </is>
      </c>
      <c r="I5" s="40" t="inlineStr">
        <is>
          <t>Logística</t>
        </is>
      </c>
      <c r="J5" s="40" t="inlineStr">
        <is>
          <t>Coordinación de Logística</t>
        </is>
      </c>
      <c r="K5" s="40" t="inlineStr">
        <is>
          <t>Borrador</t>
        </is>
      </c>
      <c r="L5" s="41" t="inlineStr">
        <is>
          <t>Fila de ejemplo: sustitúyela por la actividad real</t>
        </is>
      </c>
      <c r="M5" s="42">
        <f>IF(OR($C5="",$E5="",$H5="",$K5="Cancelada"),"",IF(COUNTIFS($A$5:$A$504,$A5,$H$5:$H$504,$H5,$K$5:$K$504,"&lt;&gt;Cancelada",$C$5:$C$504,"&lt;"&amp;$E5,$E$5:$E$504,"&gt;"&amp;$C5)&gt;1,"Se solapa con otra actividad en esta sala",""))</f>
        <v/>
      </c>
    </row>
    <row r="6" ht="21" customHeight="1">
      <c r="A6" s="35" t="n">
        <v>46342</v>
      </c>
      <c r="B6" s="36" t="n"/>
      <c r="C6" s="37">
        <f>IF($A6="","",IF($B6&lt;&gt;"",$B6,IF($A6=$A5,$E5,Configuración!$C$5)))</f>
        <v/>
      </c>
      <c r="D6" s="38" t="n">
        <v>15</v>
      </c>
      <c r="E6" s="37">
        <f>IF(OR($C6="",$D6=""),"",$C6+$D6/1440)</f>
        <v/>
      </c>
      <c r="F6" s="39" t="inlineStr">
        <is>
          <t>Apertura de las jornadas</t>
        </is>
      </c>
      <c r="G6" s="40" t="inlineStr">
        <is>
          <t>Otro</t>
        </is>
      </c>
      <c r="H6" s="40" t="inlineStr">
        <is>
          <t>Sala 1</t>
        </is>
      </c>
      <c r="I6" s="40" t="inlineStr">
        <is>
          <t>Dirección / Presidencia</t>
        </is>
      </c>
      <c r="J6" s="40" t="inlineStr">
        <is>
          <t>Presidencia</t>
        </is>
      </c>
      <c r="K6" s="40" t="inlineStr">
        <is>
          <t>Borrador</t>
        </is>
      </c>
      <c r="L6" s="41" t="inlineStr">
        <is>
          <t>Fila de ejemplo: sustitúyela por la actividad real</t>
        </is>
      </c>
      <c r="M6" s="42">
        <f>IF(OR($C6="",$E6="",$H6="",$K6="Cancelada"),"",IF(COUNTIFS($A$5:$A$504,$A6,$H$5:$H$504,$H6,$K$5:$K$504,"&lt;&gt;Cancelada",$C$5:$C$504,"&lt;"&amp;$E6,$E$5:$E$504,"&gt;"&amp;$C6)&gt;1,"Se solapa con otra actividad en esta sala",""))</f>
        <v/>
      </c>
    </row>
    <row r="7" ht="21" customHeight="1">
      <c r="A7" s="35" t="n">
        <v>46342</v>
      </c>
      <c r="B7" s="36" t="n"/>
      <c r="C7" s="37">
        <f>IF($A7="","",IF($B7&lt;&gt;"",$B7,IF($A7=$A6,$E6,Configuración!$C$5)))</f>
        <v/>
      </c>
      <c r="D7" s="38" t="n">
        <v>50</v>
      </c>
      <c r="E7" s="37">
        <f>IF(OR($C7="",$D7=""),"",$C7+$D7/1440)</f>
        <v/>
      </c>
      <c r="F7" s="39" t="inlineStr">
        <is>
          <t>Ponencia inaugural</t>
        </is>
      </c>
      <c r="G7" s="40" t="inlineStr">
        <is>
          <t>Ponencia</t>
        </is>
      </c>
      <c r="H7" s="40" t="inlineStr">
        <is>
          <t>Sala 1</t>
        </is>
      </c>
      <c r="I7" s="40" t="inlineStr">
        <is>
          <t>Programa</t>
        </is>
      </c>
      <c r="J7" s="40" t="inlineStr">
        <is>
          <t>Coordinación de Programa</t>
        </is>
      </c>
      <c r="K7" s="40" t="inlineStr">
        <is>
          <t>Pendiente de visto bueno</t>
        </is>
      </c>
      <c r="L7" s="41" t="inlineStr">
        <is>
          <t>Fila de ejemplo: sustitúyela por la actividad real</t>
        </is>
      </c>
      <c r="M7" s="42">
        <f>IF(OR($C7="",$E7="",$H7="",$K7="Cancelada"),"",IF(COUNTIFS($A$5:$A$504,$A7,$H$5:$H$504,$H7,$K$5:$K$504,"&lt;&gt;Cancelada",$C$5:$C$504,"&lt;"&amp;$E7,$E$5:$E$504,"&gt;"&amp;$C7)&gt;1,"Se solapa con otra actividad en esta sala",""))</f>
        <v/>
      </c>
    </row>
    <row r="8" ht="21" customHeight="1">
      <c r="A8" s="35" t="n"/>
      <c r="B8" s="36" t="n"/>
      <c r="C8" s="37">
        <f>IF($A8="","",IF($B8&lt;&gt;"",$B8,IF($A8=$A7,$E7,Configuración!$C$5)))</f>
        <v/>
      </c>
      <c r="D8" s="38" t="n"/>
      <c r="E8" s="37">
        <f>IF(OR($C8="",$D8=""),"",$C8+$D8/1440)</f>
        <v/>
      </c>
      <c r="F8" s="39" t="n"/>
      <c r="G8" s="40" t="n"/>
      <c r="H8" s="40" t="n"/>
      <c r="I8" s="40" t="n"/>
      <c r="J8" s="40" t="n"/>
      <c r="K8" s="40" t="n"/>
      <c r="L8" s="41" t="n"/>
      <c r="M8" s="42">
        <f>IF(OR($C8="",$E8="",$H8="",$K8="Cancelada"),"",IF(COUNTIFS($A$5:$A$504,$A8,$H$5:$H$504,$H8,$K$5:$K$504,"&lt;&gt;Cancelada",$C$5:$C$504,"&lt;"&amp;$E8,$E$5:$E$504,"&gt;"&amp;$C8)&gt;1,"Se solapa con otra actividad en esta sala",""))</f>
        <v/>
      </c>
    </row>
    <row r="9" ht="21" customHeight="1">
      <c r="A9" s="35" t="n"/>
      <c r="B9" s="36" t="n"/>
      <c r="C9" s="37">
        <f>IF($A9="","",IF($B9&lt;&gt;"",$B9,IF($A9=$A8,$E8,Configuración!$C$5)))</f>
        <v/>
      </c>
      <c r="D9" s="38" t="n"/>
      <c r="E9" s="37">
        <f>IF(OR($C9="",$D9=""),"",$C9+$D9/1440)</f>
        <v/>
      </c>
      <c r="F9" s="39" t="n"/>
      <c r="G9" s="40" t="n"/>
      <c r="H9" s="40" t="n"/>
      <c r="I9" s="40" t="n"/>
      <c r="J9" s="40" t="n"/>
      <c r="K9" s="40" t="n"/>
      <c r="L9" s="41" t="n"/>
      <c r="M9" s="42">
        <f>IF(OR($C9="",$E9="",$H9="",$K9="Cancelada"),"",IF(COUNTIFS($A$5:$A$504,$A9,$H$5:$H$504,$H9,$K$5:$K$504,"&lt;&gt;Cancelada",$C$5:$C$504,"&lt;"&amp;$E9,$E$5:$E$504,"&gt;"&amp;$C9)&gt;1,"Se solapa con otra actividad en esta sala",""))</f>
        <v/>
      </c>
    </row>
    <row r="10" ht="21" customHeight="1">
      <c r="A10" s="35" t="n"/>
      <c r="B10" s="36" t="n"/>
      <c r="C10" s="37">
        <f>IF($A10="","",IF($B10&lt;&gt;"",$B10,IF($A10=$A9,$E9,Configuración!$C$5)))</f>
        <v/>
      </c>
      <c r="D10" s="38" t="n"/>
      <c r="E10" s="37">
        <f>IF(OR($C10="",$D10=""),"",$C10+$D10/1440)</f>
        <v/>
      </c>
      <c r="F10" s="39" t="n"/>
      <c r="G10" s="40" t="n"/>
      <c r="H10" s="40" t="n"/>
      <c r="I10" s="40" t="n"/>
      <c r="J10" s="40" t="n"/>
      <c r="K10" s="40" t="n"/>
      <c r="L10" s="41" t="n"/>
      <c r="M10" s="42">
        <f>IF(OR($C10="",$E10="",$H10="",$K10="Cancelada"),"",IF(COUNTIFS($A$5:$A$504,$A10,$H$5:$H$504,$H10,$K$5:$K$504,"&lt;&gt;Cancelada",$C$5:$C$504,"&lt;"&amp;$E10,$E$5:$E$504,"&gt;"&amp;$C10)&gt;1,"Se solapa con otra actividad en esta sala",""))</f>
        <v/>
      </c>
    </row>
    <row r="11" ht="21" customHeight="1">
      <c r="A11" s="35" t="n"/>
      <c r="B11" s="36" t="n"/>
      <c r="C11" s="37">
        <f>IF($A11="","",IF($B11&lt;&gt;"",$B11,IF($A11=$A10,$E10,Configuración!$C$5)))</f>
        <v/>
      </c>
      <c r="D11" s="38" t="n"/>
      <c r="E11" s="37">
        <f>IF(OR($C11="",$D11=""),"",$C11+$D11/1440)</f>
        <v/>
      </c>
      <c r="F11" s="39" t="n"/>
      <c r="G11" s="40" t="n"/>
      <c r="H11" s="40" t="n"/>
      <c r="I11" s="40" t="n"/>
      <c r="J11" s="40" t="n"/>
      <c r="K11" s="40" t="n"/>
      <c r="L11" s="41" t="n"/>
      <c r="M11" s="42">
        <f>IF(OR($C11="",$E11="",$H11="",$K11="Cancelada"),"",IF(COUNTIFS($A$5:$A$504,$A11,$H$5:$H$504,$H11,$K$5:$K$504,"&lt;&gt;Cancelada",$C$5:$C$504,"&lt;"&amp;$E11,$E$5:$E$504,"&gt;"&amp;$C11)&gt;1,"Se solapa con otra actividad en esta sala",""))</f>
        <v/>
      </c>
    </row>
    <row r="12" ht="21" customHeight="1">
      <c r="A12" s="35" t="n"/>
      <c r="B12" s="36" t="n"/>
      <c r="C12" s="37">
        <f>IF($A12="","",IF($B12&lt;&gt;"",$B12,IF($A12=$A11,$E11,Configuración!$C$5)))</f>
        <v/>
      </c>
      <c r="D12" s="38" t="n"/>
      <c r="E12" s="37">
        <f>IF(OR($C12="",$D12=""),"",$C12+$D12/1440)</f>
        <v/>
      </c>
      <c r="F12" s="39" t="n"/>
      <c r="G12" s="40" t="n"/>
      <c r="H12" s="40" t="n"/>
      <c r="I12" s="40" t="n"/>
      <c r="J12" s="40" t="n"/>
      <c r="K12" s="40" t="n"/>
      <c r="L12" s="41" t="n"/>
      <c r="M12" s="42">
        <f>IF(OR($C12="",$E12="",$H12="",$K12="Cancelada"),"",IF(COUNTIFS($A$5:$A$504,$A12,$H$5:$H$504,$H12,$K$5:$K$504,"&lt;&gt;Cancelada",$C$5:$C$504,"&lt;"&amp;$E12,$E$5:$E$504,"&gt;"&amp;$C12)&gt;1,"Se solapa con otra actividad en esta sala",""))</f>
        <v/>
      </c>
    </row>
    <row r="13" ht="21" customHeight="1">
      <c r="A13" s="35" t="n"/>
      <c r="B13" s="36" t="n"/>
      <c r="C13" s="37">
        <f>IF($A13="","",IF($B13&lt;&gt;"",$B13,IF($A13=$A12,$E12,Configuración!$C$5)))</f>
        <v/>
      </c>
      <c r="D13" s="38" t="n"/>
      <c r="E13" s="37">
        <f>IF(OR($C13="",$D13=""),"",$C13+$D13/1440)</f>
        <v/>
      </c>
      <c r="F13" s="39" t="n"/>
      <c r="G13" s="40" t="n"/>
      <c r="H13" s="40" t="n"/>
      <c r="I13" s="40" t="n"/>
      <c r="J13" s="40" t="n"/>
      <c r="K13" s="40" t="n"/>
      <c r="L13" s="41" t="n"/>
      <c r="M13" s="42">
        <f>IF(OR($C13="",$E13="",$H13="",$K13="Cancelada"),"",IF(COUNTIFS($A$5:$A$504,$A13,$H$5:$H$504,$H13,$K$5:$K$504,"&lt;&gt;Cancelada",$C$5:$C$504,"&lt;"&amp;$E13,$E$5:$E$504,"&gt;"&amp;$C13)&gt;1,"Se solapa con otra actividad en esta sala",""))</f>
        <v/>
      </c>
    </row>
    <row r="14" ht="21" customHeight="1">
      <c r="A14" s="35" t="n"/>
      <c r="B14" s="36" t="n"/>
      <c r="C14" s="37">
        <f>IF($A14="","",IF($B14&lt;&gt;"",$B14,IF($A14=$A13,$E13,Configuración!$C$5)))</f>
        <v/>
      </c>
      <c r="D14" s="38" t="n"/>
      <c r="E14" s="37">
        <f>IF(OR($C14="",$D14=""),"",$C14+$D14/1440)</f>
        <v/>
      </c>
      <c r="F14" s="39" t="n"/>
      <c r="G14" s="40" t="n"/>
      <c r="H14" s="40" t="n"/>
      <c r="I14" s="40" t="n"/>
      <c r="J14" s="40" t="n"/>
      <c r="K14" s="40" t="n"/>
      <c r="L14" s="41" t="n"/>
      <c r="M14" s="42">
        <f>IF(OR($C14="",$E14="",$H14="",$K14="Cancelada"),"",IF(COUNTIFS($A$5:$A$504,$A14,$H$5:$H$504,$H14,$K$5:$K$504,"&lt;&gt;Cancelada",$C$5:$C$504,"&lt;"&amp;$E14,$E$5:$E$504,"&gt;"&amp;$C14)&gt;1,"Se solapa con otra actividad en esta sala",""))</f>
        <v/>
      </c>
    </row>
    <row r="15" ht="21" customHeight="1">
      <c r="A15" s="35" t="n"/>
      <c r="B15" s="36" t="n"/>
      <c r="C15" s="37">
        <f>IF($A15="","",IF($B15&lt;&gt;"",$B15,IF($A15=$A14,$E14,Configuración!$C$5)))</f>
        <v/>
      </c>
      <c r="D15" s="38" t="n"/>
      <c r="E15" s="37">
        <f>IF(OR($C15="",$D15=""),"",$C15+$D15/1440)</f>
        <v/>
      </c>
      <c r="F15" s="39" t="n"/>
      <c r="G15" s="40" t="n"/>
      <c r="H15" s="40" t="n"/>
      <c r="I15" s="40" t="n"/>
      <c r="J15" s="40" t="n"/>
      <c r="K15" s="40" t="n"/>
      <c r="L15" s="41" t="n"/>
      <c r="M15" s="42">
        <f>IF(OR($C15="",$E15="",$H15="",$K15="Cancelada"),"",IF(COUNTIFS($A$5:$A$504,$A15,$H$5:$H$504,$H15,$K$5:$K$504,"&lt;&gt;Cancelada",$C$5:$C$504,"&lt;"&amp;$E15,$E$5:$E$504,"&gt;"&amp;$C15)&gt;1,"Se solapa con otra actividad en esta sala",""))</f>
        <v/>
      </c>
    </row>
    <row r="16" ht="21" customHeight="1">
      <c r="A16" s="35" t="n"/>
      <c r="B16" s="36" t="n"/>
      <c r="C16" s="37">
        <f>IF($A16="","",IF($B16&lt;&gt;"",$B16,IF($A16=$A15,$E15,Configuración!$C$5)))</f>
        <v/>
      </c>
      <c r="D16" s="38" t="n"/>
      <c r="E16" s="37">
        <f>IF(OR($C16="",$D16=""),"",$C16+$D16/1440)</f>
        <v/>
      </c>
      <c r="F16" s="39" t="n"/>
      <c r="G16" s="40" t="n"/>
      <c r="H16" s="40" t="n"/>
      <c r="I16" s="40" t="n"/>
      <c r="J16" s="40" t="n"/>
      <c r="K16" s="40" t="n"/>
      <c r="L16" s="41" t="n"/>
      <c r="M16" s="42">
        <f>IF(OR($C16="",$E16="",$H16="",$K16="Cancelada"),"",IF(COUNTIFS($A$5:$A$504,$A16,$H$5:$H$504,$H16,$K$5:$K$504,"&lt;&gt;Cancelada",$C$5:$C$504,"&lt;"&amp;$E16,$E$5:$E$504,"&gt;"&amp;$C16)&gt;1,"Se solapa con otra actividad en esta sala",""))</f>
        <v/>
      </c>
    </row>
    <row r="17" ht="21" customHeight="1">
      <c r="A17" s="35" t="n"/>
      <c r="B17" s="36" t="n"/>
      <c r="C17" s="37">
        <f>IF($A17="","",IF($B17&lt;&gt;"",$B17,IF($A17=$A16,$E16,Configuración!$C$5)))</f>
        <v/>
      </c>
      <c r="D17" s="38" t="n"/>
      <c r="E17" s="37">
        <f>IF(OR($C17="",$D17=""),"",$C17+$D17/1440)</f>
        <v/>
      </c>
      <c r="F17" s="39" t="n"/>
      <c r="G17" s="40" t="n"/>
      <c r="H17" s="40" t="n"/>
      <c r="I17" s="40" t="n"/>
      <c r="J17" s="40" t="n"/>
      <c r="K17" s="40" t="n"/>
      <c r="L17" s="41" t="n"/>
      <c r="M17" s="42">
        <f>IF(OR($C17="",$E17="",$H17="",$K17="Cancelada"),"",IF(COUNTIFS($A$5:$A$504,$A17,$H$5:$H$504,$H17,$K$5:$K$504,"&lt;&gt;Cancelada",$C$5:$C$504,"&lt;"&amp;$E17,$E$5:$E$504,"&gt;"&amp;$C17)&gt;1,"Se solapa con otra actividad en esta sala",""))</f>
        <v/>
      </c>
    </row>
    <row r="18" ht="21" customHeight="1">
      <c r="A18" s="35" t="n"/>
      <c r="B18" s="36" t="n"/>
      <c r="C18" s="37">
        <f>IF($A18="","",IF($B18&lt;&gt;"",$B18,IF($A18=$A17,$E17,Configuración!$C$5)))</f>
        <v/>
      </c>
      <c r="D18" s="38" t="n"/>
      <c r="E18" s="37">
        <f>IF(OR($C18="",$D18=""),"",$C18+$D18/1440)</f>
        <v/>
      </c>
      <c r="F18" s="39" t="n"/>
      <c r="G18" s="40" t="n"/>
      <c r="H18" s="40" t="n"/>
      <c r="I18" s="40" t="n"/>
      <c r="J18" s="40" t="n"/>
      <c r="K18" s="40" t="n"/>
      <c r="L18" s="41" t="n"/>
      <c r="M18" s="42">
        <f>IF(OR($C18="",$E18="",$H18="",$K18="Cancelada"),"",IF(COUNTIFS($A$5:$A$504,$A18,$H$5:$H$504,$H18,$K$5:$K$504,"&lt;&gt;Cancelada",$C$5:$C$504,"&lt;"&amp;$E18,$E$5:$E$504,"&gt;"&amp;$C18)&gt;1,"Se solapa con otra actividad en esta sala",""))</f>
        <v/>
      </c>
    </row>
    <row r="19" ht="21" customHeight="1">
      <c r="A19" s="35" t="n"/>
      <c r="B19" s="36" t="n"/>
      <c r="C19" s="37">
        <f>IF($A19="","",IF($B19&lt;&gt;"",$B19,IF($A19=$A18,$E18,Configuración!$C$5)))</f>
        <v/>
      </c>
      <c r="D19" s="38" t="n"/>
      <c r="E19" s="37">
        <f>IF(OR($C19="",$D19=""),"",$C19+$D19/1440)</f>
        <v/>
      </c>
      <c r="F19" s="39" t="n"/>
      <c r="G19" s="40" t="n"/>
      <c r="H19" s="40" t="n"/>
      <c r="I19" s="40" t="n"/>
      <c r="J19" s="40" t="n"/>
      <c r="K19" s="40" t="n"/>
      <c r="L19" s="41" t="n"/>
      <c r="M19" s="42">
        <f>IF(OR($C19="",$E19="",$H19="",$K19="Cancelada"),"",IF(COUNTIFS($A$5:$A$504,$A19,$H$5:$H$504,$H19,$K$5:$K$504,"&lt;&gt;Cancelada",$C$5:$C$504,"&lt;"&amp;$E19,$E$5:$E$504,"&gt;"&amp;$C19)&gt;1,"Se solapa con otra actividad en esta sala",""))</f>
        <v/>
      </c>
    </row>
    <row r="20" ht="21" customHeight="1">
      <c r="A20" s="35" t="n"/>
      <c r="B20" s="36" t="n"/>
      <c r="C20" s="37">
        <f>IF($A20="","",IF($B20&lt;&gt;"",$B20,IF($A20=$A19,$E19,Configuración!$C$5)))</f>
        <v/>
      </c>
      <c r="D20" s="38" t="n"/>
      <c r="E20" s="37">
        <f>IF(OR($C20="",$D20=""),"",$C20+$D20/1440)</f>
        <v/>
      </c>
      <c r="F20" s="39" t="n"/>
      <c r="G20" s="40" t="n"/>
      <c r="H20" s="40" t="n"/>
      <c r="I20" s="40" t="n"/>
      <c r="J20" s="40" t="n"/>
      <c r="K20" s="40" t="n"/>
      <c r="L20" s="41" t="n"/>
      <c r="M20" s="42">
        <f>IF(OR($C20="",$E20="",$H20="",$K20="Cancelada"),"",IF(COUNTIFS($A$5:$A$504,$A20,$H$5:$H$504,$H20,$K$5:$K$504,"&lt;&gt;Cancelada",$C$5:$C$504,"&lt;"&amp;$E20,$E$5:$E$504,"&gt;"&amp;$C20)&gt;1,"Se solapa con otra actividad en esta sala",""))</f>
        <v/>
      </c>
    </row>
    <row r="21" ht="21" customHeight="1">
      <c r="A21" s="35" t="n"/>
      <c r="B21" s="36" t="n"/>
      <c r="C21" s="37">
        <f>IF($A21="","",IF($B21&lt;&gt;"",$B21,IF($A21=$A20,$E20,Configuración!$C$5)))</f>
        <v/>
      </c>
      <c r="D21" s="38" t="n"/>
      <c r="E21" s="37">
        <f>IF(OR($C21="",$D21=""),"",$C21+$D21/1440)</f>
        <v/>
      </c>
      <c r="F21" s="39" t="n"/>
      <c r="G21" s="40" t="n"/>
      <c r="H21" s="40" t="n"/>
      <c r="I21" s="40" t="n"/>
      <c r="J21" s="40" t="n"/>
      <c r="K21" s="40" t="n"/>
      <c r="L21" s="41" t="n"/>
      <c r="M21" s="42">
        <f>IF(OR($C21="",$E21="",$H21="",$K21="Cancelada"),"",IF(COUNTIFS($A$5:$A$504,$A21,$H$5:$H$504,$H21,$K$5:$K$504,"&lt;&gt;Cancelada",$C$5:$C$504,"&lt;"&amp;$E21,$E$5:$E$504,"&gt;"&amp;$C21)&gt;1,"Se solapa con otra actividad en esta sala",""))</f>
        <v/>
      </c>
    </row>
    <row r="22" ht="21" customHeight="1">
      <c r="A22" s="35" t="n"/>
      <c r="B22" s="36" t="n"/>
      <c r="C22" s="37">
        <f>IF($A22="","",IF($B22&lt;&gt;"",$B22,IF($A22=$A21,$E21,Configuración!$C$5)))</f>
        <v/>
      </c>
      <c r="D22" s="38" t="n"/>
      <c r="E22" s="37">
        <f>IF(OR($C22="",$D22=""),"",$C22+$D22/1440)</f>
        <v/>
      </c>
      <c r="F22" s="39" t="n"/>
      <c r="G22" s="40" t="n"/>
      <c r="H22" s="40" t="n"/>
      <c r="I22" s="40" t="n"/>
      <c r="J22" s="40" t="n"/>
      <c r="K22" s="40" t="n"/>
      <c r="L22" s="41" t="n"/>
      <c r="M22" s="42">
        <f>IF(OR($C22="",$E22="",$H22="",$K22="Cancelada"),"",IF(COUNTIFS($A$5:$A$504,$A22,$H$5:$H$504,$H22,$K$5:$K$504,"&lt;&gt;Cancelada",$C$5:$C$504,"&lt;"&amp;$E22,$E$5:$E$504,"&gt;"&amp;$C22)&gt;1,"Se solapa con otra actividad en esta sala",""))</f>
        <v/>
      </c>
    </row>
    <row r="23" ht="21" customHeight="1">
      <c r="A23" s="35" t="n"/>
      <c r="B23" s="36" t="n"/>
      <c r="C23" s="37">
        <f>IF($A23="","",IF($B23&lt;&gt;"",$B23,IF($A23=$A22,$E22,Configuración!$C$5)))</f>
        <v/>
      </c>
      <c r="D23" s="38" t="n"/>
      <c r="E23" s="37">
        <f>IF(OR($C23="",$D23=""),"",$C23+$D23/1440)</f>
        <v/>
      </c>
      <c r="F23" s="39" t="n"/>
      <c r="G23" s="40" t="n"/>
      <c r="H23" s="40" t="n"/>
      <c r="I23" s="40" t="n"/>
      <c r="J23" s="40" t="n"/>
      <c r="K23" s="40" t="n"/>
      <c r="L23" s="41" t="n"/>
      <c r="M23" s="42">
        <f>IF(OR($C23="",$E23="",$H23="",$K23="Cancelada"),"",IF(COUNTIFS($A$5:$A$504,$A23,$H$5:$H$504,$H23,$K$5:$K$504,"&lt;&gt;Cancelada",$C$5:$C$504,"&lt;"&amp;$E23,$E$5:$E$504,"&gt;"&amp;$C23)&gt;1,"Se solapa con otra actividad en esta sala",""))</f>
        <v/>
      </c>
    </row>
    <row r="24" ht="21" customHeight="1">
      <c r="A24" s="35" t="n"/>
      <c r="B24" s="36" t="n"/>
      <c r="C24" s="37">
        <f>IF($A24="","",IF($B24&lt;&gt;"",$B24,IF($A24=$A23,$E23,Configuración!$C$5)))</f>
        <v/>
      </c>
      <c r="D24" s="38" t="n"/>
      <c r="E24" s="37">
        <f>IF(OR($C24="",$D24=""),"",$C24+$D24/1440)</f>
        <v/>
      </c>
      <c r="F24" s="39" t="n"/>
      <c r="G24" s="40" t="n"/>
      <c r="H24" s="40" t="n"/>
      <c r="I24" s="40" t="n"/>
      <c r="J24" s="40" t="n"/>
      <c r="K24" s="40" t="n"/>
      <c r="L24" s="41" t="n"/>
      <c r="M24" s="42">
        <f>IF(OR($C24="",$E24="",$H24="",$K24="Cancelada"),"",IF(COUNTIFS($A$5:$A$504,$A24,$H$5:$H$504,$H24,$K$5:$K$504,"&lt;&gt;Cancelada",$C$5:$C$504,"&lt;"&amp;$E24,$E$5:$E$504,"&gt;"&amp;$C24)&gt;1,"Se solapa con otra actividad en esta sala",""))</f>
        <v/>
      </c>
    </row>
    <row r="25" ht="21" customHeight="1">
      <c r="A25" s="35" t="n"/>
      <c r="B25" s="36" t="n"/>
      <c r="C25" s="37">
        <f>IF($A25="","",IF($B25&lt;&gt;"",$B25,IF($A25=$A24,$E24,Configuración!$C$5)))</f>
        <v/>
      </c>
      <c r="D25" s="38" t="n"/>
      <c r="E25" s="37">
        <f>IF(OR($C25="",$D25=""),"",$C25+$D25/1440)</f>
        <v/>
      </c>
      <c r="F25" s="39" t="n"/>
      <c r="G25" s="40" t="n"/>
      <c r="H25" s="40" t="n"/>
      <c r="I25" s="40" t="n"/>
      <c r="J25" s="40" t="n"/>
      <c r="K25" s="40" t="n"/>
      <c r="L25" s="41" t="n"/>
      <c r="M25" s="42">
        <f>IF(OR($C25="",$E25="",$H25="",$K25="Cancelada"),"",IF(COUNTIFS($A$5:$A$504,$A25,$H$5:$H$504,$H25,$K$5:$K$504,"&lt;&gt;Cancelada",$C$5:$C$504,"&lt;"&amp;$E25,$E$5:$E$504,"&gt;"&amp;$C25)&gt;1,"Se solapa con otra actividad en esta sala",""))</f>
        <v/>
      </c>
    </row>
    <row r="26" ht="21" customHeight="1">
      <c r="A26" s="35" t="n"/>
      <c r="B26" s="36" t="n"/>
      <c r="C26" s="37">
        <f>IF($A26="","",IF($B26&lt;&gt;"",$B26,IF($A26=$A25,$E25,Configuración!$C$5)))</f>
        <v/>
      </c>
      <c r="D26" s="38" t="n"/>
      <c r="E26" s="37">
        <f>IF(OR($C26="",$D26=""),"",$C26+$D26/1440)</f>
        <v/>
      </c>
      <c r="F26" s="39" t="n"/>
      <c r="G26" s="40" t="n"/>
      <c r="H26" s="40" t="n"/>
      <c r="I26" s="40" t="n"/>
      <c r="J26" s="40" t="n"/>
      <c r="K26" s="40" t="n"/>
      <c r="L26" s="41" t="n"/>
      <c r="M26" s="42">
        <f>IF(OR($C26="",$E26="",$H26="",$K26="Cancelada"),"",IF(COUNTIFS($A$5:$A$504,$A26,$H$5:$H$504,$H26,$K$5:$K$504,"&lt;&gt;Cancelada",$C$5:$C$504,"&lt;"&amp;$E26,$E$5:$E$504,"&gt;"&amp;$C26)&gt;1,"Se solapa con otra actividad en esta sala",""))</f>
        <v/>
      </c>
    </row>
    <row r="27" ht="21" customHeight="1">
      <c r="A27" s="35" t="n"/>
      <c r="B27" s="36" t="n"/>
      <c r="C27" s="37">
        <f>IF($A27="","",IF($B27&lt;&gt;"",$B27,IF($A27=$A26,$E26,Configuración!$C$5)))</f>
        <v/>
      </c>
      <c r="D27" s="38" t="n"/>
      <c r="E27" s="37">
        <f>IF(OR($C27="",$D27=""),"",$C27+$D27/1440)</f>
        <v/>
      </c>
      <c r="F27" s="39" t="n"/>
      <c r="G27" s="40" t="n"/>
      <c r="H27" s="40" t="n"/>
      <c r="I27" s="40" t="n"/>
      <c r="J27" s="40" t="n"/>
      <c r="K27" s="40" t="n"/>
      <c r="L27" s="41" t="n"/>
      <c r="M27" s="42">
        <f>IF(OR($C27="",$E27="",$H27="",$K27="Cancelada"),"",IF(COUNTIFS($A$5:$A$504,$A27,$H$5:$H$504,$H27,$K$5:$K$504,"&lt;&gt;Cancelada",$C$5:$C$504,"&lt;"&amp;$E27,$E$5:$E$504,"&gt;"&amp;$C27)&gt;1,"Se solapa con otra actividad en esta sala",""))</f>
        <v/>
      </c>
    </row>
    <row r="28" ht="21" customHeight="1">
      <c r="A28" s="35" t="n"/>
      <c r="B28" s="36" t="n"/>
      <c r="C28" s="37">
        <f>IF($A28="","",IF($B28&lt;&gt;"",$B28,IF($A28=$A27,$E27,Configuración!$C$5)))</f>
        <v/>
      </c>
      <c r="D28" s="38" t="n"/>
      <c r="E28" s="37">
        <f>IF(OR($C28="",$D28=""),"",$C28+$D28/1440)</f>
        <v/>
      </c>
      <c r="F28" s="39" t="n"/>
      <c r="G28" s="40" t="n"/>
      <c r="H28" s="40" t="n"/>
      <c r="I28" s="40" t="n"/>
      <c r="J28" s="40" t="n"/>
      <c r="K28" s="40" t="n"/>
      <c r="L28" s="41" t="n"/>
      <c r="M28" s="42">
        <f>IF(OR($C28="",$E28="",$H28="",$K28="Cancelada"),"",IF(COUNTIFS($A$5:$A$504,$A28,$H$5:$H$504,$H28,$K$5:$K$504,"&lt;&gt;Cancelada",$C$5:$C$504,"&lt;"&amp;$E28,$E$5:$E$504,"&gt;"&amp;$C28)&gt;1,"Se solapa con otra actividad en esta sala",""))</f>
        <v/>
      </c>
    </row>
    <row r="29" ht="21" customHeight="1">
      <c r="A29" s="35" t="n"/>
      <c r="B29" s="36" t="n"/>
      <c r="C29" s="37">
        <f>IF($A29="","",IF($B29&lt;&gt;"",$B29,IF($A29=$A28,$E28,Configuración!$C$5)))</f>
        <v/>
      </c>
      <c r="D29" s="38" t="n"/>
      <c r="E29" s="37">
        <f>IF(OR($C29="",$D29=""),"",$C29+$D29/1440)</f>
        <v/>
      </c>
      <c r="F29" s="39" t="n"/>
      <c r="G29" s="40" t="n"/>
      <c r="H29" s="40" t="n"/>
      <c r="I29" s="40" t="n"/>
      <c r="J29" s="40" t="n"/>
      <c r="K29" s="40" t="n"/>
      <c r="L29" s="41" t="n"/>
      <c r="M29" s="42">
        <f>IF(OR($C29="",$E29="",$H29="",$K29="Cancelada"),"",IF(COUNTIFS($A$5:$A$504,$A29,$H$5:$H$504,$H29,$K$5:$K$504,"&lt;&gt;Cancelada",$C$5:$C$504,"&lt;"&amp;$E29,$E$5:$E$504,"&gt;"&amp;$C29)&gt;1,"Se solapa con otra actividad en esta sala",""))</f>
        <v/>
      </c>
    </row>
    <row r="30" ht="21" customHeight="1">
      <c r="A30" s="35" t="n"/>
      <c r="B30" s="36" t="n"/>
      <c r="C30" s="37">
        <f>IF($A30="","",IF($B30&lt;&gt;"",$B30,IF($A30=$A29,$E29,Configuración!$C$5)))</f>
        <v/>
      </c>
      <c r="D30" s="38" t="n"/>
      <c r="E30" s="37">
        <f>IF(OR($C30="",$D30=""),"",$C30+$D30/1440)</f>
        <v/>
      </c>
      <c r="F30" s="39" t="n"/>
      <c r="G30" s="40" t="n"/>
      <c r="H30" s="40" t="n"/>
      <c r="I30" s="40" t="n"/>
      <c r="J30" s="40" t="n"/>
      <c r="K30" s="40" t="n"/>
      <c r="L30" s="41" t="n"/>
      <c r="M30" s="42">
        <f>IF(OR($C30="",$E30="",$H30="",$K30="Cancelada"),"",IF(COUNTIFS($A$5:$A$504,$A30,$H$5:$H$504,$H30,$K$5:$K$504,"&lt;&gt;Cancelada",$C$5:$C$504,"&lt;"&amp;$E30,$E$5:$E$504,"&gt;"&amp;$C30)&gt;1,"Se solapa con otra actividad en esta sala",""))</f>
        <v/>
      </c>
    </row>
    <row r="31" ht="21" customHeight="1">
      <c r="A31" s="35" t="n"/>
      <c r="B31" s="36" t="n"/>
      <c r="C31" s="37">
        <f>IF($A31="","",IF($B31&lt;&gt;"",$B31,IF($A31=$A30,$E30,Configuración!$C$5)))</f>
        <v/>
      </c>
      <c r="D31" s="38" t="n"/>
      <c r="E31" s="37">
        <f>IF(OR($C31="",$D31=""),"",$C31+$D31/1440)</f>
        <v/>
      </c>
      <c r="F31" s="39" t="n"/>
      <c r="G31" s="40" t="n"/>
      <c r="H31" s="40" t="n"/>
      <c r="I31" s="40" t="n"/>
      <c r="J31" s="40" t="n"/>
      <c r="K31" s="40" t="n"/>
      <c r="L31" s="41" t="n"/>
      <c r="M31" s="42">
        <f>IF(OR($C31="",$E31="",$H31="",$K31="Cancelada"),"",IF(COUNTIFS($A$5:$A$504,$A31,$H$5:$H$504,$H31,$K$5:$K$504,"&lt;&gt;Cancelada",$C$5:$C$504,"&lt;"&amp;$E31,$E$5:$E$504,"&gt;"&amp;$C31)&gt;1,"Se solapa con otra actividad en esta sala",""))</f>
        <v/>
      </c>
    </row>
    <row r="32" ht="21" customHeight="1">
      <c r="A32" s="35" t="n"/>
      <c r="B32" s="36" t="n"/>
      <c r="C32" s="37">
        <f>IF($A32="","",IF($B32&lt;&gt;"",$B32,IF($A32=$A31,$E31,Configuración!$C$5)))</f>
        <v/>
      </c>
      <c r="D32" s="38" t="n"/>
      <c r="E32" s="37">
        <f>IF(OR($C32="",$D32=""),"",$C32+$D32/1440)</f>
        <v/>
      </c>
      <c r="F32" s="39" t="n"/>
      <c r="G32" s="40" t="n"/>
      <c r="H32" s="40" t="n"/>
      <c r="I32" s="40" t="n"/>
      <c r="J32" s="40" t="n"/>
      <c r="K32" s="40" t="n"/>
      <c r="L32" s="41" t="n"/>
      <c r="M32" s="42">
        <f>IF(OR($C32="",$E32="",$H32="",$K32="Cancelada"),"",IF(COUNTIFS($A$5:$A$504,$A32,$H$5:$H$504,$H32,$K$5:$K$504,"&lt;&gt;Cancelada",$C$5:$C$504,"&lt;"&amp;$E32,$E$5:$E$504,"&gt;"&amp;$C32)&gt;1,"Se solapa con otra actividad en esta sala",""))</f>
        <v/>
      </c>
    </row>
    <row r="33" ht="21" customHeight="1">
      <c r="A33" s="35" t="n"/>
      <c r="B33" s="36" t="n"/>
      <c r="C33" s="37">
        <f>IF($A33="","",IF($B33&lt;&gt;"",$B33,IF($A33=$A32,$E32,Configuración!$C$5)))</f>
        <v/>
      </c>
      <c r="D33" s="38" t="n"/>
      <c r="E33" s="37">
        <f>IF(OR($C33="",$D33=""),"",$C33+$D33/1440)</f>
        <v/>
      </c>
      <c r="F33" s="39" t="n"/>
      <c r="G33" s="40" t="n"/>
      <c r="H33" s="40" t="n"/>
      <c r="I33" s="40" t="n"/>
      <c r="J33" s="40" t="n"/>
      <c r="K33" s="40" t="n"/>
      <c r="L33" s="41" t="n"/>
      <c r="M33" s="42">
        <f>IF(OR($C33="",$E33="",$H33="",$K33="Cancelada"),"",IF(COUNTIFS($A$5:$A$504,$A33,$H$5:$H$504,$H33,$K$5:$K$504,"&lt;&gt;Cancelada",$C$5:$C$504,"&lt;"&amp;$E33,$E$5:$E$504,"&gt;"&amp;$C33)&gt;1,"Se solapa con otra actividad en esta sala",""))</f>
        <v/>
      </c>
    </row>
    <row r="34" ht="21" customHeight="1">
      <c r="A34" s="35" t="n"/>
      <c r="B34" s="36" t="n"/>
      <c r="C34" s="37">
        <f>IF($A34="","",IF($B34&lt;&gt;"",$B34,IF($A34=$A33,$E33,Configuración!$C$5)))</f>
        <v/>
      </c>
      <c r="D34" s="38" t="n"/>
      <c r="E34" s="37">
        <f>IF(OR($C34="",$D34=""),"",$C34+$D34/1440)</f>
        <v/>
      </c>
      <c r="F34" s="39" t="n"/>
      <c r="G34" s="40" t="n"/>
      <c r="H34" s="40" t="n"/>
      <c r="I34" s="40" t="n"/>
      <c r="J34" s="40" t="n"/>
      <c r="K34" s="40" t="n"/>
      <c r="L34" s="41" t="n"/>
      <c r="M34" s="42">
        <f>IF(OR($C34="",$E34="",$H34="",$K34="Cancelada"),"",IF(COUNTIFS($A$5:$A$504,$A34,$H$5:$H$504,$H34,$K$5:$K$504,"&lt;&gt;Cancelada",$C$5:$C$504,"&lt;"&amp;$E34,$E$5:$E$504,"&gt;"&amp;$C34)&gt;1,"Se solapa con otra actividad en esta sala",""))</f>
        <v/>
      </c>
    </row>
    <row r="35" ht="21" customHeight="1">
      <c r="A35" s="35" t="n"/>
      <c r="B35" s="36" t="n"/>
      <c r="C35" s="37">
        <f>IF($A35="","",IF($B35&lt;&gt;"",$B35,IF($A35=$A34,$E34,Configuración!$C$5)))</f>
        <v/>
      </c>
      <c r="D35" s="38" t="n"/>
      <c r="E35" s="37">
        <f>IF(OR($C35="",$D35=""),"",$C35+$D35/1440)</f>
        <v/>
      </c>
      <c r="F35" s="39" t="n"/>
      <c r="G35" s="40" t="n"/>
      <c r="H35" s="40" t="n"/>
      <c r="I35" s="40" t="n"/>
      <c r="J35" s="40" t="n"/>
      <c r="K35" s="40" t="n"/>
      <c r="L35" s="41" t="n"/>
      <c r="M35" s="42">
        <f>IF(OR($C35="",$E35="",$H35="",$K35="Cancelada"),"",IF(COUNTIFS($A$5:$A$504,$A35,$H$5:$H$504,$H35,$K$5:$K$504,"&lt;&gt;Cancelada",$C$5:$C$504,"&lt;"&amp;$E35,$E$5:$E$504,"&gt;"&amp;$C35)&gt;1,"Se solapa con otra actividad en esta sala",""))</f>
        <v/>
      </c>
    </row>
    <row r="36" ht="21" customHeight="1">
      <c r="A36" s="35" t="n"/>
      <c r="B36" s="36" t="n"/>
      <c r="C36" s="37">
        <f>IF($A36="","",IF($B36&lt;&gt;"",$B36,IF($A36=$A35,$E35,Configuración!$C$5)))</f>
        <v/>
      </c>
      <c r="D36" s="38" t="n"/>
      <c r="E36" s="37">
        <f>IF(OR($C36="",$D36=""),"",$C36+$D36/1440)</f>
        <v/>
      </c>
      <c r="F36" s="39" t="n"/>
      <c r="G36" s="40" t="n"/>
      <c r="H36" s="40" t="n"/>
      <c r="I36" s="40" t="n"/>
      <c r="J36" s="40" t="n"/>
      <c r="K36" s="40" t="n"/>
      <c r="L36" s="41" t="n"/>
      <c r="M36" s="42">
        <f>IF(OR($C36="",$E36="",$H36="",$K36="Cancelada"),"",IF(COUNTIFS($A$5:$A$504,$A36,$H$5:$H$504,$H36,$K$5:$K$504,"&lt;&gt;Cancelada",$C$5:$C$504,"&lt;"&amp;$E36,$E$5:$E$504,"&gt;"&amp;$C36)&gt;1,"Se solapa con otra actividad en esta sala",""))</f>
        <v/>
      </c>
    </row>
    <row r="37" ht="21" customHeight="1">
      <c r="A37" s="35" t="n"/>
      <c r="B37" s="36" t="n"/>
      <c r="C37" s="37">
        <f>IF($A37="","",IF($B37&lt;&gt;"",$B37,IF($A37=$A36,$E36,Configuración!$C$5)))</f>
        <v/>
      </c>
      <c r="D37" s="38" t="n"/>
      <c r="E37" s="37">
        <f>IF(OR($C37="",$D37=""),"",$C37+$D37/1440)</f>
        <v/>
      </c>
      <c r="F37" s="39" t="n"/>
      <c r="G37" s="40" t="n"/>
      <c r="H37" s="40" t="n"/>
      <c r="I37" s="40" t="n"/>
      <c r="J37" s="40" t="n"/>
      <c r="K37" s="40" t="n"/>
      <c r="L37" s="41" t="n"/>
      <c r="M37" s="42">
        <f>IF(OR($C37="",$E37="",$H37="",$K37="Cancelada"),"",IF(COUNTIFS($A$5:$A$504,$A37,$H$5:$H$504,$H37,$K$5:$K$504,"&lt;&gt;Cancelada",$C$5:$C$504,"&lt;"&amp;$E37,$E$5:$E$504,"&gt;"&amp;$C37)&gt;1,"Se solapa con otra actividad en esta sala",""))</f>
        <v/>
      </c>
    </row>
    <row r="38" ht="21" customHeight="1">
      <c r="A38" s="35" t="n"/>
      <c r="B38" s="36" t="n"/>
      <c r="C38" s="37">
        <f>IF($A38="","",IF($B38&lt;&gt;"",$B38,IF($A38=$A37,$E37,Configuración!$C$5)))</f>
        <v/>
      </c>
      <c r="D38" s="38" t="n"/>
      <c r="E38" s="37">
        <f>IF(OR($C38="",$D38=""),"",$C38+$D38/1440)</f>
        <v/>
      </c>
      <c r="F38" s="39" t="n"/>
      <c r="G38" s="40" t="n"/>
      <c r="H38" s="40" t="n"/>
      <c r="I38" s="40" t="n"/>
      <c r="J38" s="40" t="n"/>
      <c r="K38" s="40" t="n"/>
      <c r="L38" s="41" t="n"/>
      <c r="M38" s="42">
        <f>IF(OR($C38="",$E38="",$H38="",$K38="Cancelada"),"",IF(COUNTIFS($A$5:$A$504,$A38,$H$5:$H$504,$H38,$K$5:$K$504,"&lt;&gt;Cancelada",$C$5:$C$504,"&lt;"&amp;$E38,$E$5:$E$504,"&gt;"&amp;$C38)&gt;1,"Se solapa con otra actividad en esta sala",""))</f>
        <v/>
      </c>
    </row>
    <row r="39" ht="21" customHeight="1">
      <c r="A39" s="35" t="n"/>
      <c r="B39" s="36" t="n"/>
      <c r="C39" s="37">
        <f>IF($A39="","",IF($B39&lt;&gt;"",$B39,IF($A39=$A38,$E38,Configuración!$C$5)))</f>
        <v/>
      </c>
      <c r="D39" s="38" t="n"/>
      <c r="E39" s="37">
        <f>IF(OR($C39="",$D39=""),"",$C39+$D39/1440)</f>
        <v/>
      </c>
      <c r="F39" s="39" t="n"/>
      <c r="G39" s="40" t="n"/>
      <c r="H39" s="40" t="n"/>
      <c r="I39" s="40" t="n"/>
      <c r="J39" s="40" t="n"/>
      <c r="K39" s="40" t="n"/>
      <c r="L39" s="41" t="n"/>
      <c r="M39" s="42">
        <f>IF(OR($C39="",$E39="",$H39="",$K39="Cancelada"),"",IF(COUNTIFS($A$5:$A$504,$A39,$H$5:$H$504,$H39,$K$5:$K$504,"&lt;&gt;Cancelada",$C$5:$C$504,"&lt;"&amp;$E39,$E$5:$E$504,"&gt;"&amp;$C39)&gt;1,"Se solapa con otra actividad en esta sala",""))</f>
        <v/>
      </c>
    </row>
    <row r="40" ht="21" customHeight="1">
      <c r="A40" s="35" t="n"/>
      <c r="B40" s="36" t="n"/>
      <c r="C40" s="37">
        <f>IF($A40="","",IF($B40&lt;&gt;"",$B40,IF($A40=$A39,$E39,Configuración!$C$5)))</f>
        <v/>
      </c>
      <c r="D40" s="38" t="n"/>
      <c r="E40" s="37">
        <f>IF(OR($C40="",$D40=""),"",$C40+$D40/1440)</f>
        <v/>
      </c>
      <c r="F40" s="39" t="n"/>
      <c r="G40" s="40" t="n"/>
      <c r="H40" s="40" t="n"/>
      <c r="I40" s="40" t="n"/>
      <c r="J40" s="40" t="n"/>
      <c r="K40" s="40" t="n"/>
      <c r="L40" s="41" t="n"/>
      <c r="M40" s="42">
        <f>IF(OR($C40="",$E40="",$H40="",$K40="Cancelada"),"",IF(COUNTIFS($A$5:$A$504,$A40,$H$5:$H$504,$H40,$K$5:$K$504,"&lt;&gt;Cancelada",$C$5:$C$504,"&lt;"&amp;$E40,$E$5:$E$504,"&gt;"&amp;$C40)&gt;1,"Se solapa con otra actividad en esta sala",""))</f>
        <v/>
      </c>
    </row>
    <row r="41" ht="21" customHeight="1">
      <c r="A41" s="35" t="n"/>
      <c r="B41" s="36" t="n"/>
      <c r="C41" s="37">
        <f>IF($A41="","",IF($B41&lt;&gt;"",$B41,IF($A41=$A40,$E40,Configuración!$C$5)))</f>
        <v/>
      </c>
      <c r="D41" s="38" t="n"/>
      <c r="E41" s="37">
        <f>IF(OR($C41="",$D41=""),"",$C41+$D41/1440)</f>
        <v/>
      </c>
      <c r="F41" s="39" t="n"/>
      <c r="G41" s="40" t="n"/>
      <c r="H41" s="40" t="n"/>
      <c r="I41" s="40" t="n"/>
      <c r="J41" s="40" t="n"/>
      <c r="K41" s="40" t="n"/>
      <c r="L41" s="41" t="n"/>
      <c r="M41" s="42">
        <f>IF(OR($C41="",$E41="",$H41="",$K41="Cancelada"),"",IF(COUNTIFS($A$5:$A$504,$A41,$H$5:$H$504,$H41,$K$5:$K$504,"&lt;&gt;Cancelada",$C$5:$C$504,"&lt;"&amp;$E41,$E$5:$E$504,"&gt;"&amp;$C41)&gt;1,"Se solapa con otra actividad en esta sala",""))</f>
        <v/>
      </c>
    </row>
    <row r="42" ht="21" customHeight="1">
      <c r="A42" s="35" t="n"/>
      <c r="B42" s="36" t="n"/>
      <c r="C42" s="37">
        <f>IF($A42="","",IF($B42&lt;&gt;"",$B42,IF($A42=$A41,$E41,Configuración!$C$5)))</f>
        <v/>
      </c>
      <c r="D42" s="38" t="n"/>
      <c r="E42" s="37">
        <f>IF(OR($C42="",$D42=""),"",$C42+$D42/1440)</f>
        <v/>
      </c>
      <c r="F42" s="39" t="n"/>
      <c r="G42" s="40" t="n"/>
      <c r="H42" s="40" t="n"/>
      <c r="I42" s="40" t="n"/>
      <c r="J42" s="40" t="n"/>
      <c r="K42" s="40" t="n"/>
      <c r="L42" s="41" t="n"/>
      <c r="M42" s="42">
        <f>IF(OR($C42="",$E42="",$H42="",$K42="Cancelada"),"",IF(COUNTIFS($A$5:$A$504,$A42,$H$5:$H$504,$H42,$K$5:$K$504,"&lt;&gt;Cancelada",$C$5:$C$504,"&lt;"&amp;$E42,$E$5:$E$504,"&gt;"&amp;$C42)&gt;1,"Se solapa con otra actividad en esta sala",""))</f>
        <v/>
      </c>
    </row>
    <row r="43" ht="21" customHeight="1">
      <c r="A43" s="35" t="n"/>
      <c r="B43" s="36" t="n"/>
      <c r="C43" s="37">
        <f>IF($A43="","",IF($B43&lt;&gt;"",$B43,IF($A43=$A42,$E42,Configuración!$C$5)))</f>
        <v/>
      </c>
      <c r="D43" s="38" t="n"/>
      <c r="E43" s="37">
        <f>IF(OR($C43="",$D43=""),"",$C43+$D43/1440)</f>
        <v/>
      </c>
      <c r="F43" s="39" t="n"/>
      <c r="G43" s="40" t="n"/>
      <c r="H43" s="40" t="n"/>
      <c r="I43" s="40" t="n"/>
      <c r="J43" s="40" t="n"/>
      <c r="K43" s="40" t="n"/>
      <c r="L43" s="41" t="n"/>
      <c r="M43" s="42">
        <f>IF(OR($C43="",$E43="",$H43="",$K43="Cancelada"),"",IF(COUNTIFS($A$5:$A$504,$A43,$H$5:$H$504,$H43,$K$5:$K$504,"&lt;&gt;Cancelada",$C$5:$C$504,"&lt;"&amp;$E43,$E$5:$E$504,"&gt;"&amp;$C43)&gt;1,"Se solapa con otra actividad en esta sala",""))</f>
        <v/>
      </c>
    </row>
    <row r="44" ht="21" customHeight="1">
      <c r="A44" s="35" t="n"/>
      <c r="B44" s="36" t="n"/>
      <c r="C44" s="37">
        <f>IF($A44="","",IF($B44&lt;&gt;"",$B44,IF($A44=$A43,$E43,Configuración!$C$5)))</f>
        <v/>
      </c>
      <c r="D44" s="38" t="n"/>
      <c r="E44" s="37">
        <f>IF(OR($C44="",$D44=""),"",$C44+$D44/1440)</f>
        <v/>
      </c>
      <c r="F44" s="39" t="n"/>
      <c r="G44" s="40" t="n"/>
      <c r="H44" s="40" t="n"/>
      <c r="I44" s="40" t="n"/>
      <c r="J44" s="40" t="n"/>
      <c r="K44" s="40" t="n"/>
      <c r="L44" s="41" t="n"/>
      <c r="M44" s="42">
        <f>IF(OR($C44="",$E44="",$H44="",$K44="Cancelada"),"",IF(COUNTIFS($A$5:$A$504,$A44,$H$5:$H$504,$H44,$K$5:$K$504,"&lt;&gt;Cancelada",$C$5:$C$504,"&lt;"&amp;$E44,$E$5:$E$504,"&gt;"&amp;$C44)&gt;1,"Se solapa con otra actividad en esta sala",""))</f>
        <v/>
      </c>
    </row>
    <row r="45" ht="21" customHeight="1">
      <c r="A45" s="35" t="n"/>
      <c r="B45" s="36" t="n"/>
      <c r="C45" s="37">
        <f>IF($A45="","",IF($B45&lt;&gt;"",$B45,IF($A45=$A44,$E44,Configuración!$C$5)))</f>
        <v/>
      </c>
      <c r="D45" s="38" t="n"/>
      <c r="E45" s="37">
        <f>IF(OR($C45="",$D45=""),"",$C45+$D45/1440)</f>
        <v/>
      </c>
      <c r="F45" s="39" t="n"/>
      <c r="G45" s="40" t="n"/>
      <c r="H45" s="40" t="n"/>
      <c r="I45" s="40" t="n"/>
      <c r="J45" s="40" t="n"/>
      <c r="K45" s="40" t="n"/>
      <c r="L45" s="41" t="n"/>
      <c r="M45" s="42">
        <f>IF(OR($C45="",$E45="",$H45="",$K45="Cancelada"),"",IF(COUNTIFS($A$5:$A$504,$A45,$H$5:$H$504,$H45,$K$5:$K$504,"&lt;&gt;Cancelada",$C$5:$C$504,"&lt;"&amp;$E45,$E$5:$E$504,"&gt;"&amp;$C45)&gt;1,"Se solapa con otra actividad en esta sala",""))</f>
        <v/>
      </c>
    </row>
    <row r="46" ht="21" customHeight="1">
      <c r="A46" s="35" t="n"/>
      <c r="B46" s="36" t="n"/>
      <c r="C46" s="37">
        <f>IF($A46="","",IF($B46&lt;&gt;"",$B46,IF($A46=$A45,$E45,Configuración!$C$5)))</f>
        <v/>
      </c>
      <c r="D46" s="38" t="n"/>
      <c r="E46" s="37">
        <f>IF(OR($C46="",$D46=""),"",$C46+$D46/1440)</f>
        <v/>
      </c>
      <c r="F46" s="39" t="n"/>
      <c r="G46" s="40" t="n"/>
      <c r="H46" s="40" t="n"/>
      <c r="I46" s="40" t="n"/>
      <c r="J46" s="40" t="n"/>
      <c r="K46" s="40" t="n"/>
      <c r="L46" s="41" t="n"/>
      <c r="M46" s="42">
        <f>IF(OR($C46="",$E46="",$H46="",$K46="Cancelada"),"",IF(COUNTIFS($A$5:$A$504,$A46,$H$5:$H$504,$H46,$K$5:$K$504,"&lt;&gt;Cancelada",$C$5:$C$504,"&lt;"&amp;$E46,$E$5:$E$504,"&gt;"&amp;$C46)&gt;1,"Se solapa con otra actividad en esta sala",""))</f>
        <v/>
      </c>
    </row>
    <row r="47" ht="21" customHeight="1">
      <c r="A47" s="35" t="n"/>
      <c r="B47" s="36" t="n"/>
      <c r="C47" s="37">
        <f>IF($A47="","",IF($B47&lt;&gt;"",$B47,IF($A47=$A46,$E46,Configuración!$C$5)))</f>
        <v/>
      </c>
      <c r="D47" s="38" t="n"/>
      <c r="E47" s="37">
        <f>IF(OR($C47="",$D47=""),"",$C47+$D47/1440)</f>
        <v/>
      </c>
      <c r="F47" s="39" t="n"/>
      <c r="G47" s="40" t="n"/>
      <c r="H47" s="40" t="n"/>
      <c r="I47" s="40" t="n"/>
      <c r="J47" s="40" t="n"/>
      <c r="K47" s="40" t="n"/>
      <c r="L47" s="41" t="n"/>
      <c r="M47" s="42">
        <f>IF(OR($C47="",$E47="",$H47="",$K47="Cancelada"),"",IF(COUNTIFS($A$5:$A$504,$A47,$H$5:$H$504,$H47,$K$5:$K$504,"&lt;&gt;Cancelada",$C$5:$C$504,"&lt;"&amp;$E47,$E$5:$E$504,"&gt;"&amp;$C47)&gt;1,"Se solapa con otra actividad en esta sala",""))</f>
        <v/>
      </c>
    </row>
    <row r="48" ht="21" customHeight="1">
      <c r="A48" s="35" t="n"/>
      <c r="B48" s="36" t="n"/>
      <c r="C48" s="37">
        <f>IF($A48="","",IF($B48&lt;&gt;"",$B48,IF($A48=$A47,$E47,Configuración!$C$5)))</f>
        <v/>
      </c>
      <c r="D48" s="38" t="n"/>
      <c r="E48" s="37">
        <f>IF(OR($C48="",$D48=""),"",$C48+$D48/1440)</f>
        <v/>
      </c>
      <c r="F48" s="39" t="n"/>
      <c r="G48" s="40" t="n"/>
      <c r="H48" s="40" t="n"/>
      <c r="I48" s="40" t="n"/>
      <c r="J48" s="40" t="n"/>
      <c r="K48" s="40" t="n"/>
      <c r="L48" s="41" t="n"/>
      <c r="M48" s="42">
        <f>IF(OR($C48="",$E48="",$H48="",$K48="Cancelada"),"",IF(COUNTIFS($A$5:$A$504,$A48,$H$5:$H$504,$H48,$K$5:$K$504,"&lt;&gt;Cancelada",$C$5:$C$504,"&lt;"&amp;$E48,$E$5:$E$504,"&gt;"&amp;$C48)&gt;1,"Se solapa con otra actividad en esta sala",""))</f>
        <v/>
      </c>
    </row>
    <row r="49" ht="21" customHeight="1">
      <c r="A49" s="35" t="n"/>
      <c r="B49" s="36" t="n"/>
      <c r="C49" s="37">
        <f>IF($A49="","",IF($B49&lt;&gt;"",$B49,IF($A49=$A48,$E48,Configuración!$C$5)))</f>
        <v/>
      </c>
      <c r="D49" s="38" t="n"/>
      <c r="E49" s="37">
        <f>IF(OR($C49="",$D49=""),"",$C49+$D49/1440)</f>
        <v/>
      </c>
      <c r="F49" s="39" t="n"/>
      <c r="G49" s="40" t="n"/>
      <c r="H49" s="40" t="n"/>
      <c r="I49" s="40" t="n"/>
      <c r="J49" s="40" t="n"/>
      <c r="K49" s="40" t="n"/>
      <c r="L49" s="41" t="n"/>
      <c r="M49" s="42">
        <f>IF(OR($C49="",$E49="",$H49="",$K49="Cancelada"),"",IF(COUNTIFS($A$5:$A$504,$A49,$H$5:$H$504,$H49,$K$5:$K$504,"&lt;&gt;Cancelada",$C$5:$C$504,"&lt;"&amp;$E49,$E$5:$E$504,"&gt;"&amp;$C49)&gt;1,"Se solapa con otra actividad en esta sala",""))</f>
        <v/>
      </c>
    </row>
    <row r="50" ht="21" customHeight="1">
      <c r="A50" s="35" t="n"/>
      <c r="B50" s="36" t="n"/>
      <c r="C50" s="37">
        <f>IF($A50="","",IF($B50&lt;&gt;"",$B50,IF($A50=$A49,$E49,Configuración!$C$5)))</f>
        <v/>
      </c>
      <c r="D50" s="38" t="n"/>
      <c r="E50" s="37">
        <f>IF(OR($C50="",$D50=""),"",$C50+$D50/1440)</f>
        <v/>
      </c>
      <c r="F50" s="39" t="n"/>
      <c r="G50" s="40" t="n"/>
      <c r="H50" s="40" t="n"/>
      <c r="I50" s="40" t="n"/>
      <c r="J50" s="40" t="n"/>
      <c r="K50" s="40" t="n"/>
      <c r="L50" s="41" t="n"/>
      <c r="M50" s="42">
        <f>IF(OR($C50="",$E50="",$H50="",$K50="Cancelada"),"",IF(COUNTIFS($A$5:$A$504,$A50,$H$5:$H$504,$H50,$K$5:$K$504,"&lt;&gt;Cancelada",$C$5:$C$504,"&lt;"&amp;$E50,$E$5:$E$504,"&gt;"&amp;$C50)&gt;1,"Se solapa con otra actividad en esta sala",""))</f>
        <v/>
      </c>
    </row>
    <row r="51" ht="21" customHeight="1">
      <c r="A51" s="35" t="n"/>
      <c r="B51" s="36" t="n"/>
      <c r="C51" s="37">
        <f>IF($A51="","",IF($B51&lt;&gt;"",$B51,IF($A51=$A50,$E50,Configuración!$C$5)))</f>
        <v/>
      </c>
      <c r="D51" s="38" t="n"/>
      <c r="E51" s="37">
        <f>IF(OR($C51="",$D51=""),"",$C51+$D51/1440)</f>
        <v/>
      </c>
      <c r="F51" s="39" t="n"/>
      <c r="G51" s="40" t="n"/>
      <c r="H51" s="40" t="n"/>
      <c r="I51" s="40" t="n"/>
      <c r="J51" s="40" t="n"/>
      <c r="K51" s="40" t="n"/>
      <c r="L51" s="41" t="n"/>
      <c r="M51" s="42">
        <f>IF(OR($C51="",$E51="",$H51="",$K51="Cancelada"),"",IF(COUNTIFS($A$5:$A$504,$A51,$H$5:$H$504,$H51,$K$5:$K$504,"&lt;&gt;Cancelada",$C$5:$C$504,"&lt;"&amp;$E51,$E$5:$E$504,"&gt;"&amp;$C51)&gt;1,"Se solapa con otra actividad en esta sala",""))</f>
        <v/>
      </c>
    </row>
    <row r="52" ht="21" customHeight="1">
      <c r="A52" s="35" t="n"/>
      <c r="B52" s="36" t="n"/>
      <c r="C52" s="37">
        <f>IF($A52="","",IF($B52&lt;&gt;"",$B52,IF($A52=$A51,$E51,Configuración!$C$5)))</f>
        <v/>
      </c>
      <c r="D52" s="38" t="n"/>
      <c r="E52" s="37">
        <f>IF(OR($C52="",$D52=""),"",$C52+$D52/1440)</f>
        <v/>
      </c>
      <c r="F52" s="39" t="n"/>
      <c r="G52" s="40" t="n"/>
      <c r="H52" s="40" t="n"/>
      <c r="I52" s="40" t="n"/>
      <c r="J52" s="40" t="n"/>
      <c r="K52" s="40" t="n"/>
      <c r="L52" s="41" t="n"/>
      <c r="M52" s="42">
        <f>IF(OR($C52="",$E52="",$H52="",$K52="Cancelada"),"",IF(COUNTIFS($A$5:$A$504,$A52,$H$5:$H$504,$H52,$K$5:$K$504,"&lt;&gt;Cancelada",$C$5:$C$504,"&lt;"&amp;$E52,$E$5:$E$504,"&gt;"&amp;$C52)&gt;1,"Se solapa con otra actividad en esta sala",""))</f>
        <v/>
      </c>
    </row>
    <row r="53" ht="21" customHeight="1">
      <c r="A53" s="35" t="n"/>
      <c r="B53" s="36" t="n"/>
      <c r="C53" s="37">
        <f>IF($A53="","",IF($B53&lt;&gt;"",$B53,IF($A53=$A52,$E52,Configuración!$C$5)))</f>
        <v/>
      </c>
      <c r="D53" s="38" t="n"/>
      <c r="E53" s="37">
        <f>IF(OR($C53="",$D53=""),"",$C53+$D53/1440)</f>
        <v/>
      </c>
      <c r="F53" s="39" t="n"/>
      <c r="G53" s="40" t="n"/>
      <c r="H53" s="40" t="n"/>
      <c r="I53" s="40" t="n"/>
      <c r="J53" s="40" t="n"/>
      <c r="K53" s="40" t="n"/>
      <c r="L53" s="41" t="n"/>
      <c r="M53" s="42">
        <f>IF(OR($C53="",$E53="",$H53="",$K53="Cancelada"),"",IF(COUNTIFS($A$5:$A$504,$A53,$H$5:$H$504,$H53,$K$5:$K$504,"&lt;&gt;Cancelada",$C$5:$C$504,"&lt;"&amp;$E53,$E$5:$E$504,"&gt;"&amp;$C53)&gt;1,"Se solapa con otra actividad en esta sala",""))</f>
        <v/>
      </c>
    </row>
    <row r="54" ht="21" customHeight="1">
      <c r="A54" s="35" t="n"/>
      <c r="B54" s="36" t="n"/>
      <c r="C54" s="37">
        <f>IF($A54="","",IF($B54&lt;&gt;"",$B54,IF($A54=$A53,$E53,Configuración!$C$5)))</f>
        <v/>
      </c>
      <c r="D54" s="38" t="n"/>
      <c r="E54" s="37">
        <f>IF(OR($C54="",$D54=""),"",$C54+$D54/1440)</f>
        <v/>
      </c>
      <c r="F54" s="39" t="n"/>
      <c r="G54" s="40" t="n"/>
      <c r="H54" s="40" t="n"/>
      <c r="I54" s="40" t="n"/>
      <c r="J54" s="40" t="n"/>
      <c r="K54" s="40" t="n"/>
      <c r="L54" s="41" t="n"/>
      <c r="M54" s="42">
        <f>IF(OR($C54="",$E54="",$H54="",$K54="Cancelada"),"",IF(COUNTIFS($A$5:$A$504,$A54,$H$5:$H$504,$H54,$K$5:$K$504,"&lt;&gt;Cancelada",$C$5:$C$504,"&lt;"&amp;$E54,$E$5:$E$504,"&gt;"&amp;$C54)&gt;1,"Se solapa con otra actividad en esta sala",""))</f>
        <v/>
      </c>
    </row>
    <row r="55" ht="21" customHeight="1">
      <c r="A55" s="35" t="n"/>
      <c r="B55" s="36" t="n"/>
      <c r="C55" s="37">
        <f>IF($A55="","",IF($B55&lt;&gt;"",$B55,IF($A55=$A54,$E54,Configuración!$C$5)))</f>
        <v/>
      </c>
      <c r="D55" s="38" t="n"/>
      <c r="E55" s="37">
        <f>IF(OR($C55="",$D55=""),"",$C55+$D55/1440)</f>
        <v/>
      </c>
      <c r="F55" s="39" t="n"/>
      <c r="G55" s="40" t="n"/>
      <c r="H55" s="40" t="n"/>
      <c r="I55" s="40" t="n"/>
      <c r="J55" s="40" t="n"/>
      <c r="K55" s="40" t="n"/>
      <c r="L55" s="41" t="n"/>
      <c r="M55" s="42">
        <f>IF(OR($C55="",$E55="",$H55="",$K55="Cancelada"),"",IF(COUNTIFS($A$5:$A$504,$A55,$H$5:$H$504,$H55,$K$5:$K$504,"&lt;&gt;Cancelada",$C$5:$C$504,"&lt;"&amp;$E55,$E$5:$E$504,"&gt;"&amp;$C55)&gt;1,"Se solapa con otra actividad en esta sala",""))</f>
        <v/>
      </c>
    </row>
    <row r="56" ht="21" customHeight="1">
      <c r="A56" s="35" t="n"/>
      <c r="B56" s="36" t="n"/>
      <c r="C56" s="37">
        <f>IF($A56="","",IF($B56&lt;&gt;"",$B56,IF($A56=$A55,$E55,Configuración!$C$5)))</f>
        <v/>
      </c>
      <c r="D56" s="38" t="n"/>
      <c r="E56" s="37">
        <f>IF(OR($C56="",$D56=""),"",$C56+$D56/1440)</f>
        <v/>
      </c>
      <c r="F56" s="39" t="n"/>
      <c r="G56" s="40" t="n"/>
      <c r="H56" s="40" t="n"/>
      <c r="I56" s="40" t="n"/>
      <c r="J56" s="40" t="n"/>
      <c r="K56" s="40" t="n"/>
      <c r="L56" s="41" t="n"/>
      <c r="M56" s="42">
        <f>IF(OR($C56="",$E56="",$H56="",$K56="Cancelada"),"",IF(COUNTIFS($A$5:$A$504,$A56,$H$5:$H$504,$H56,$K$5:$K$504,"&lt;&gt;Cancelada",$C$5:$C$504,"&lt;"&amp;$E56,$E$5:$E$504,"&gt;"&amp;$C56)&gt;1,"Se solapa con otra actividad en esta sala",""))</f>
        <v/>
      </c>
    </row>
    <row r="57" ht="21" customHeight="1">
      <c r="A57" s="35" t="n"/>
      <c r="B57" s="36" t="n"/>
      <c r="C57" s="37">
        <f>IF($A57="","",IF($B57&lt;&gt;"",$B57,IF($A57=$A56,$E56,Configuración!$C$5)))</f>
        <v/>
      </c>
      <c r="D57" s="38" t="n"/>
      <c r="E57" s="37">
        <f>IF(OR($C57="",$D57=""),"",$C57+$D57/1440)</f>
        <v/>
      </c>
      <c r="F57" s="39" t="n"/>
      <c r="G57" s="40" t="n"/>
      <c r="H57" s="40" t="n"/>
      <c r="I57" s="40" t="n"/>
      <c r="J57" s="40" t="n"/>
      <c r="K57" s="40" t="n"/>
      <c r="L57" s="41" t="n"/>
      <c r="M57" s="42">
        <f>IF(OR($C57="",$E57="",$H57="",$K57="Cancelada"),"",IF(COUNTIFS($A$5:$A$504,$A57,$H$5:$H$504,$H57,$K$5:$K$504,"&lt;&gt;Cancelada",$C$5:$C$504,"&lt;"&amp;$E57,$E$5:$E$504,"&gt;"&amp;$C57)&gt;1,"Se solapa con otra actividad en esta sala",""))</f>
        <v/>
      </c>
    </row>
    <row r="58" ht="21" customHeight="1">
      <c r="A58" s="35" t="n"/>
      <c r="B58" s="36" t="n"/>
      <c r="C58" s="37">
        <f>IF($A58="","",IF($B58&lt;&gt;"",$B58,IF($A58=$A57,$E57,Configuración!$C$5)))</f>
        <v/>
      </c>
      <c r="D58" s="38" t="n"/>
      <c r="E58" s="37">
        <f>IF(OR($C58="",$D58=""),"",$C58+$D58/1440)</f>
        <v/>
      </c>
      <c r="F58" s="39" t="n"/>
      <c r="G58" s="40" t="n"/>
      <c r="H58" s="40" t="n"/>
      <c r="I58" s="40" t="n"/>
      <c r="J58" s="40" t="n"/>
      <c r="K58" s="40" t="n"/>
      <c r="L58" s="41" t="n"/>
      <c r="M58" s="42">
        <f>IF(OR($C58="",$E58="",$H58="",$K58="Cancelada"),"",IF(COUNTIFS($A$5:$A$504,$A58,$H$5:$H$504,$H58,$K$5:$K$504,"&lt;&gt;Cancelada",$C$5:$C$504,"&lt;"&amp;$E58,$E$5:$E$504,"&gt;"&amp;$C58)&gt;1,"Se solapa con otra actividad en esta sala",""))</f>
        <v/>
      </c>
    </row>
    <row r="59" ht="21" customHeight="1">
      <c r="A59" s="35" t="n"/>
      <c r="B59" s="36" t="n"/>
      <c r="C59" s="37">
        <f>IF($A59="","",IF($B59&lt;&gt;"",$B59,IF($A59=$A58,$E58,Configuración!$C$5)))</f>
        <v/>
      </c>
      <c r="D59" s="38" t="n"/>
      <c r="E59" s="37">
        <f>IF(OR($C59="",$D59=""),"",$C59+$D59/1440)</f>
        <v/>
      </c>
      <c r="F59" s="39" t="n"/>
      <c r="G59" s="40" t="n"/>
      <c r="H59" s="40" t="n"/>
      <c r="I59" s="40" t="n"/>
      <c r="J59" s="40" t="n"/>
      <c r="K59" s="40" t="n"/>
      <c r="L59" s="41" t="n"/>
      <c r="M59" s="42">
        <f>IF(OR($C59="",$E59="",$H59="",$K59="Cancelada"),"",IF(COUNTIFS($A$5:$A$504,$A59,$H$5:$H$504,$H59,$K$5:$K$504,"&lt;&gt;Cancelada",$C$5:$C$504,"&lt;"&amp;$E59,$E$5:$E$504,"&gt;"&amp;$C59)&gt;1,"Se solapa con otra actividad en esta sala",""))</f>
        <v/>
      </c>
    </row>
    <row r="60" ht="21" customHeight="1">
      <c r="A60" s="35" t="n"/>
      <c r="B60" s="36" t="n"/>
      <c r="C60" s="37">
        <f>IF($A60="","",IF($B60&lt;&gt;"",$B60,IF($A60=$A59,$E59,Configuración!$C$5)))</f>
        <v/>
      </c>
      <c r="D60" s="38" t="n"/>
      <c r="E60" s="37">
        <f>IF(OR($C60="",$D60=""),"",$C60+$D60/1440)</f>
        <v/>
      </c>
      <c r="F60" s="39" t="n"/>
      <c r="G60" s="40" t="n"/>
      <c r="H60" s="40" t="n"/>
      <c r="I60" s="40" t="n"/>
      <c r="J60" s="40" t="n"/>
      <c r="K60" s="40" t="n"/>
      <c r="L60" s="41" t="n"/>
      <c r="M60" s="42">
        <f>IF(OR($C60="",$E60="",$H60="",$K60="Cancelada"),"",IF(COUNTIFS($A$5:$A$504,$A60,$H$5:$H$504,$H60,$K$5:$K$504,"&lt;&gt;Cancelada",$C$5:$C$504,"&lt;"&amp;$E60,$E$5:$E$504,"&gt;"&amp;$C60)&gt;1,"Se solapa con otra actividad en esta sala",""))</f>
        <v/>
      </c>
    </row>
    <row r="61" ht="21" customHeight="1">
      <c r="A61" s="35" t="n"/>
      <c r="B61" s="36" t="n"/>
      <c r="C61" s="37">
        <f>IF($A61="","",IF($B61&lt;&gt;"",$B61,IF($A61=$A60,$E60,Configuración!$C$5)))</f>
        <v/>
      </c>
      <c r="D61" s="38" t="n"/>
      <c r="E61" s="37">
        <f>IF(OR($C61="",$D61=""),"",$C61+$D61/1440)</f>
        <v/>
      </c>
      <c r="F61" s="39" t="n"/>
      <c r="G61" s="40" t="n"/>
      <c r="H61" s="40" t="n"/>
      <c r="I61" s="40" t="n"/>
      <c r="J61" s="40" t="n"/>
      <c r="K61" s="40" t="n"/>
      <c r="L61" s="41" t="n"/>
      <c r="M61" s="42">
        <f>IF(OR($C61="",$E61="",$H61="",$K61="Cancelada"),"",IF(COUNTIFS($A$5:$A$504,$A61,$H$5:$H$504,$H61,$K$5:$K$504,"&lt;&gt;Cancelada",$C$5:$C$504,"&lt;"&amp;$E61,$E$5:$E$504,"&gt;"&amp;$C61)&gt;1,"Se solapa con otra actividad en esta sala",""))</f>
        <v/>
      </c>
    </row>
    <row r="62" ht="21" customHeight="1">
      <c r="A62" s="35" t="n"/>
      <c r="B62" s="36" t="n"/>
      <c r="C62" s="37">
        <f>IF($A62="","",IF($B62&lt;&gt;"",$B62,IF($A62=$A61,$E61,Configuración!$C$5)))</f>
        <v/>
      </c>
      <c r="D62" s="38" t="n"/>
      <c r="E62" s="37">
        <f>IF(OR($C62="",$D62=""),"",$C62+$D62/1440)</f>
        <v/>
      </c>
      <c r="F62" s="39" t="n"/>
      <c r="G62" s="40" t="n"/>
      <c r="H62" s="40" t="n"/>
      <c r="I62" s="40" t="n"/>
      <c r="J62" s="40" t="n"/>
      <c r="K62" s="40" t="n"/>
      <c r="L62" s="41" t="n"/>
      <c r="M62" s="42">
        <f>IF(OR($C62="",$E62="",$H62="",$K62="Cancelada"),"",IF(COUNTIFS($A$5:$A$504,$A62,$H$5:$H$504,$H62,$K$5:$K$504,"&lt;&gt;Cancelada",$C$5:$C$504,"&lt;"&amp;$E62,$E$5:$E$504,"&gt;"&amp;$C62)&gt;1,"Se solapa con otra actividad en esta sala",""))</f>
        <v/>
      </c>
    </row>
    <row r="63" ht="21" customHeight="1">
      <c r="A63" s="35" t="n"/>
      <c r="B63" s="36" t="n"/>
      <c r="C63" s="37">
        <f>IF($A63="","",IF($B63&lt;&gt;"",$B63,IF($A63=$A62,$E62,Configuración!$C$5)))</f>
        <v/>
      </c>
      <c r="D63" s="38" t="n"/>
      <c r="E63" s="37">
        <f>IF(OR($C63="",$D63=""),"",$C63+$D63/1440)</f>
        <v/>
      </c>
      <c r="F63" s="39" t="n"/>
      <c r="G63" s="40" t="n"/>
      <c r="H63" s="40" t="n"/>
      <c r="I63" s="40" t="n"/>
      <c r="J63" s="40" t="n"/>
      <c r="K63" s="40" t="n"/>
      <c r="L63" s="41" t="n"/>
      <c r="M63" s="42">
        <f>IF(OR($C63="",$E63="",$H63="",$K63="Cancelada"),"",IF(COUNTIFS($A$5:$A$504,$A63,$H$5:$H$504,$H63,$K$5:$K$504,"&lt;&gt;Cancelada",$C$5:$C$504,"&lt;"&amp;$E63,$E$5:$E$504,"&gt;"&amp;$C63)&gt;1,"Se solapa con otra actividad en esta sala",""))</f>
        <v/>
      </c>
    </row>
    <row r="64" ht="21" customHeight="1">
      <c r="A64" s="35" t="n"/>
      <c r="B64" s="36" t="n"/>
      <c r="C64" s="37">
        <f>IF($A64="","",IF($B64&lt;&gt;"",$B64,IF($A64=$A63,$E63,Configuración!$C$5)))</f>
        <v/>
      </c>
      <c r="D64" s="38" t="n"/>
      <c r="E64" s="37">
        <f>IF(OR($C64="",$D64=""),"",$C64+$D64/1440)</f>
        <v/>
      </c>
      <c r="F64" s="39" t="n"/>
      <c r="G64" s="40" t="n"/>
      <c r="H64" s="40" t="n"/>
      <c r="I64" s="40" t="n"/>
      <c r="J64" s="40" t="n"/>
      <c r="K64" s="40" t="n"/>
      <c r="L64" s="41" t="n"/>
      <c r="M64" s="42">
        <f>IF(OR($C64="",$E64="",$H64="",$K64="Cancelada"),"",IF(COUNTIFS($A$5:$A$504,$A64,$H$5:$H$504,$H64,$K$5:$K$504,"&lt;&gt;Cancelada",$C$5:$C$504,"&lt;"&amp;$E64,$E$5:$E$504,"&gt;"&amp;$C64)&gt;1,"Se solapa con otra actividad en esta sala",""))</f>
        <v/>
      </c>
    </row>
    <row r="65" ht="21" customHeight="1">
      <c r="A65" s="35" t="n"/>
      <c r="B65" s="36" t="n"/>
      <c r="C65" s="37">
        <f>IF($A65="","",IF($B65&lt;&gt;"",$B65,IF($A65=$A64,$E64,Configuración!$C$5)))</f>
        <v/>
      </c>
      <c r="D65" s="38" t="n"/>
      <c r="E65" s="37">
        <f>IF(OR($C65="",$D65=""),"",$C65+$D65/1440)</f>
        <v/>
      </c>
      <c r="F65" s="39" t="n"/>
      <c r="G65" s="40" t="n"/>
      <c r="H65" s="40" t="n"/>
      <c r="I65" s="40" t="n"/>
      <c r="J65" s="40" t="n"/>
      <c r="K65" s="40" t="n"/>
      <c r="L65" s="41" t="n"/>
      <c r="M65" s="42">
        <f>IF(OR($C65="",$E65="",$H65="",$K65="Cancelada"),"",IF(COUNTIFS($A$5:$A$504,$A65,$H$5:$H$504,$H65,$K$5:$K$504,"&lt;&gt;Cancelada",$C$5:$C$504,"&lt;"&amp;$E65,$E$5:$E$504,"&gt;"&amp;$C65)&gt;1,"Se solapa con otra actividad en esta sala",""))</f>
        <v/>
      </c>
    </row>
    <row r="66" ht="21" customHeight="1">
      <c r="A66" s="35" t="n"/>
      <c r="B66" s="36" t="n"/>
      <c r="C66" s="37">
        <f>IF($A66="","",IF($B66&lt;&gt;"",$B66,IF($A66=$A65,$E65,Configuración!$C$5)))</f>
        <v/>
      </c>
      <c r="D66" s="38" t="n"/>
      <c r="E66" s="37">
        <f>IF(OR($C66="",$D66=""),"",$C66+$D66/1440)</f>
        <v/>
      </c>
      <c r="F66" s="39" t="n"/>
      <c r="G66" s="40" t="n"/>
      <c r="H66" s="40" t="n"/>
      <c r="I66" s="40" t="n"/>
      <c r="J66" s="40" t="n"/>
      <c r="K66" s="40" t="n"/>
      <c r="L66" s="41" t="n"/>
      <c r="M66" s="42">
        <f>IF(OR($C66="",$E66="",$H66="",$K66="Cancelada"),"",IF(COUNTIFS($A$5:$A$504,$A66,$H$5:$H$504,$H66,$K$5:$K$504,"&lt;&gt;Cancelada",$C$5:$C$504,"&lt;"&amp;$E66,$E$5:$E$504,"&gt;"&amp;$C66)&gt;1,"Se solapa con otra actividad en esta sala",""))</f>
        <v/>
      </c>
    </row>
    <row r="67" ht="21" customHeight="1">
      <c r="A67" s="35" t="n"/>
      <c r="B67" s="36" t="n"/>
      <c r="C67" s="37">
        <f>IF($A67="","",IF($B67&lt;&gt;"",$B67,IF($A67=$A66,$E66,Configuración!$C$5)))</f>
        <v/>
      </c>
      <c r="D67" s="38" t="n"/>
      <c r="E67" s="37">
        <f>IF(OR($C67="",$D67=""),"",$C67+$D67/1440)</f>
        <v/>
      </c>
      <c r="F67" s="39" t="n"/>
      <c r="G67" s="40" t="n"/>
      <c r="H67" s="40" t="n"/>
      <c r="I67" s="40" t="n"/>
      <c r="J67" s="40" t="n"/>
      <c r="K67" s="40" t="n"/>
      <c r="L67" s="41" t="n"/>
      <c r="M67" s="42">
        <f>IF(OR($C67="",$E67="",$H67="",$K67="Cancelada"),"",IF(COUNTIFS($A$5:$A$504,$A67,$H$5:$H$504,$H67,$K$5:$K$504,"&lt;&gt;Cancelada",$C$5:$C$504,"&lt;"&amp;$E67,$E$5:$E$504,"&gt;"&amp;$C67)&gt;1,"Se solapa con otra actividad en esta sala",""))</f>
        <v/>
      </c>
    </row>
    <row r="68" ht="21" customHeight="1">
      <c r="A68" s="35" t="n"/>
      <c r="B68" s="36" t="n"/>
      <c r="C68" s="37">
        <f>IF($A68="","",IF($B68&lt;&gt;"",$B68,IF($A68=$A67,$E67,Configuración!$C$5)))</f>
        <v/>
      </c>
      <c r="D68" s="38" t="n"/>
      <c r="E68" s="37">
        <f>IF(OR($C68="",$D68=""),"",$C68+$D68/1440)</f>
        <v/>
      </c>
      <c r="F68" s="39" t="n"/>
      <c r="G68" s="40" t="n"/>
      <c r="H68" s="40" t="n"/>
      <c r="I68" s="40" t="n"/>
      <c r="J68" s="40" t="n"/>
      <c r="K68" s="40" t="n"/>
      <c r="L68" s="41" t="n"/>
      <c r="M68" s="42">
        <f>IF(OR($C68="",$E68="",$H68="",$K68="Cancelada"),"",IF(COUNTIFS($A$5:$A$504,$A68,$H$5:$H$504,$H68,$K$5:$K$504,"&lt;&gt;Cancelada",$C$5:$C$504,"&lt;"&amp;$E68,$E$5:$E$504,"&gt;"&amp;$C68)&gt;1,"Se solapa con otra actividad en esta sala",""))</f>
        <v/>
      </c>
    </row>
    <row r="69" ht="21" customHeight="1">
      <c r="A69" s="35" t="n"/>
      <c r="B69" s="36" t="n"/>
      <c r="C69" s="37">
        <f>IF($A69="","",IF($B69&lt;&gt;"",$B69,IF($A69=$A68,$E68,Configuración!$C$5)))</f>
        <v/>
      </c>
      <c r="D69" s="38" t="n"/>
      <c r="E69" s="37">
        <f>IF(OR($C69="",$D69=""),"",$C69+$D69/1440)</f>
        <v/>
      </c>
      <c r="F69" s="39" t="n"/>
      <c r="G69" s="40" t="n"/>
      <c r="H69" s="40" t="n"/>
      <c r="I69" s="40" t="n"/>
      <c r="J69" s="40" t="n"/>
      <c r="K69" s="40" t="n"/>
      <c r="L69" s="41" t="n"/>
      <c r="M69" s="42">
        <f>IF(OR($C69="",$E69="",$H69="",$K69="Cancelada"),"",IF(COUNTIFS($A$5:$A$504,$A69,$H$5:$H$504,$H69,$K$5:$K$504,"&lt;&gt;Cancelada",$C$5:$C$504,"&lt;"&amp;$E69,$E$5:$E$504,"&gt;"&amp;$C69)&gt;1,"Se solapa con otra actividad en esta sala",""))</f>
        <v/>
      </c>
    </row>
    <row r="70" ht="21" customHeight="1">
      <c r="A70" s="35" t="n"/>
      <c r="B70" s="36" t="n"/>
      <c r="C70" s="37">
        <f>IF($A70="","",IF($B70&lt;&gt;"",$B70,IF($A70=$A69,$E69,Configuración!$C$5)))</f>
        <v/>
      </c>
      <c r="D70" s="38" t="n"/>
      <c r="E70" s="37">
        <f>IF(OR($C70="",$D70=""),"",$C70+$D70/1440)</f>
        <v/>
      </c>
      <c r="F70" s="39" t="n"/>
      <c r="G70" s="40" t="n"/>
      <c r="H70" s="40" t="n"/>
      <c r="I70" s="40" t="n"/>
      <c r="J70" s="40" t="n"/>
      <c r="K70" s="40" t="n"/>
      <c r="L70" s="41" t="n"/>
      <c r="M70" s="42">
        <f>IF(OR($C70="",$E70="",$H70="",$K70="Cancelada"),"",IF(COUNTIFS($A$5:$A$504,$A70,$H$5:$H$504,$H70,$K$5:$K$504,"&lt;&gt;Cancelada",$C$5:$C$504,"&lt;"&amp;$E70,$E$5:$E$504,"&gt;"&amp;$C70)&gt;1,"Se solapa con otra actividad en esta sala",""))</f>
        <v/>
      </c>
    </row>
    <row r="71" ht="21" customHeight="1">
      <c r="A71" s="35" t="n"/>
      <c r="B71" s="36" t="n"/>
      <c r="C71" s="37">
        <f>IF($A71="","",IF($B71&lt;&gt;"",$B71,IF($A71=$A70,$E70,Configuración!$C$5)))</f>
        <v/>
      </c>
      <c r="D71" s="38" t="n"/>
      <c r="E71" s="37">
        <f>IF(OR($C71="",$D71=""),"",$C71+$D71/1440)</f>
        <v/>
      </c>
      <c r="F71" s="39" t="n"/>
      <c r="G71" s="40" t="n"/>
      <c r="H71" s="40" t="n"/>
      <c r="I71" s="40" t="n"/>
      <c r="J71" s="40" t="n"/>
      <c r="K71" s="40" t="n"/>
      <c r="L71" s="41" t="n"/>
      <c r="M71" s="42">
        <f>IF(OR($C71="",$E71="",$H71="",$K71="Cancelada"),"",IF(COUNTIFS($A$5:$A$504,$A71,$H$5:$H$504,$H71,$K$5:$K$504,"&lt;&gt;Cancelada",$C$5:$C$504,"&lt;"&amp;$E71,$E$5:$E$504,"&gt;"&amp;$C71)&gt;1,"Se solapa con otra actividad en esta sala",""))</f>
        <v/>
      </c>
    </row>
    <row r="72" ht="21" customHeight="1">
      <c r="A72" s="35" t="n"/>
      <c r="B72" s="36" t="n"/>
      <c r="C72" s="37">
        <f>IF($A72="","",IF($B72&lt;&gt;"",$B72,IF($A72=$A71,$E71,Configuración!$C$5)))</f>
        <v/>
      </c>
      <c r="D72" s="38" t="n"/>
      <c r="E72" s="37">
        <f>IF(OR($C72="",$D72=""),"",$C72+$D72/1440)</f>
        <v/>
      </c>
      <c r="F72" s="39" t="n"/>
      <c r="G72" s="40" t="n"/>
      <c r="H72" s="40" t="n"/>
      <c r="I72" s="40" t="n"/>
      <c r="J72" s="40" t="n"/>
      <c r="K72" s="40" t="n"/>
      <c r="L72" s="41" t="n"/>
      <c r="M72" s="42">
        <f>IF(OR($C72="",$E72="",$H72="",$K72="Cancelada"),"",IF(COUNTIFS($A$5:$A$504,$A72,$H$5:$H$504,$H72,$K$5:$K$504,"&lt;&gt;Cancelada",$C$5:$C$504,"&lt;"&amp;$E72,$E$5:$E$504,"&gt;"&amp;$C72)&gt;1,"Se solapa con otra actividad en esta sala",""))</f>
        <v/>
      </c>
    </row>
    <row r="73" ht="21" customHeight="1">
      <c r="A73" s="35" t="n"/>
      <c r="B73" s="36" t="n"/>
      <c r="C73" s="37">
        <f>IF($A73="","",IF($B73&lt;&gt;"",$B73,IF($A73=$A72,$E72,Configuración!$C$5)))</f>
        <v/>
      </c>
      <c r="D73" s="38" t="n"/>
      <c r="E73" s="37">
        <f>IF(OR($C73="",$D73=""),"",$C73+$D73/1440)</f>
        <v/>
      </c>
      <c r="F73" s="39" t="n"/>
      <c r="G73" s="40" t="n"/>
      <c r="H73" s="40" t="n"/>
      <c r="I73" s="40" t="n"/>
      <c r="J73" s="40" t="n"/>
      <c r="K73" s="40" t="n"/>
      <c r="L73" s="41" t="n"/>
      <c r="M73" s="42">
        <f>IF(OR($C73="",$E73="",$H73="",$K73="Cancelada"),"",IF(COUNTIFS($A$5:$A$504,$A73,$H$5:$H$504,$H73,$K$5:$K$504,"&lt;&gt;Cancelada",$C$5:$C$504,"&lt;"&amp;$E73,$E$5:$E$504,"&gt;"&amp;$C73)&gt;1,"Se solapa con otra actividad en esta sala",""))</f>
        <v/>
      </c>
    </row>
    <row r="74" ht="21" customHeight="1">
      <c r="A74" s="35" t="n"/>
      <c r="B74" s="36" t="n"/>
      <c r="C74" s="37">
        <f>IF($A74="","",IF($B74&lt;&gt;"",$B74,IF($A74=$A73,$E73,Configuración!$C$5)))</f>
        <v/>
      </c>
      <c r="D74" s="38" t="n"/>
      <c r="E74" s="37">
        <f>IF(OR($C74="",$D74=""),"",$C74+$D74/1440)</f>
        <v/>
      </c>
      <c r="F74" s="39" t="n"/>
      <c r="G74" s="40" t="n"/>
      <c r="H74" s="40" t="n"/>
      <c r="I74" s="40" t="n"/>
      <c r="J74" s="40" t="n"/>
      <c r="K74" s="40" t="n"/>
      <c r="L74" s="41" t="n"/>
      <c r="M74" s="42">
        <f>IF(OR($C74="",$E74="",$H74="",$K74="Cancelada"),"",IF(COUNTIFS($A$5:$A$504,$A74,$H$5:$H$504,$H74,$K$5:$K$504,"&lt;&gt;Cancelada",$C$5:$C$504,"&lt;"&amp;$E74,$E$5:$E$504,"&gt;"&amp;$C74)&gt;1,"Se solapa con otra actividad en esta sala",""))</f>
        <v/>
      </c>
    </row>
    <row r="75" ht="21" customHeight="1">
      <c r="A75" s="35" t="n"/>
      <c r="B75" s="36" t="n"/>
      <c r="C75" s="37">
        <f>IF($A75="","",IF($B75&lt;&gt;"",$B75,IF($A75=$A74,$E74,Configuración!$C$5)))</f>
        <v/>
      </c>
      <c r="D75" s="38" t="n"/>
      <c r="E75" s="37">
        <f>IF(OR($C75="",$D75=""),"",$C75+$D75/1440)</f>
        <v/>
      </c>
      <c r="F75" s="39" t="n"/>
      <c r="G75" s="40" t="n"/>
      <c r="H75" s="40" t="n"/>
      <c r="I75" s="40" t="n"/>
      <c r="J75" s="40" t="n"/>
      <c r="K75" s="40" t="n"/>
      <c r="L75" s="41" t="n"/>
      <c r="M75" s="42">
        <f>IF(OR($C75="",$E75="",$H75="",$K75="Cancelada"),"",IF(COUNTIFS($A$5:$A$504,$A75,$H$5:$H$504,$H75,$K$5:$K$504,"&lt;&gt;Cancelada",$C$5:$C$504,"&lt;"&amp;$E75,$E$5:$E$504,"&gt;"&amp;$C75)&gt;1,"Se solapa con otra actividad en esta sala",""))</f>
        <v/>
      </c>
    </row>
    <row r="76" ht="21" customHeight="1">
      <c r="A76" s="35" t="n"/>
      <c r="B76" s="36" t="n"/>
      <c r="C76" s="37">
        <f>IF($A76="","",IF($B76&lt;&gt;"",$B76,IF($A76=$A75,$E75,Configuración!$C$5)))</f>
        <v/>
      </c>
      <c r="D76" s="38" t="n"/>
      <c r="E76" s="37">
        <f>IF(OR($C76="",$D76=""),"",$C76+$D76/1440)</f>
        <v/>
      </c>
      <c r="F76" s="39" t="n"/>
      <c r="G76" s="40" t="n"/>
      <c r="H76" s="40" t="n"/>
      <c r="I76" s="40" t="n"/>
      <c r="J76" s="40" t="n"/>
      <c r="K76" s="40" t="n"/>
      <c r="L76" s="41" t="n"/>
      <c r="M76" s="42">
        <f>IF(OR($C76="",$E76="",$H76="",$K76="Cancelada"),"",IF(COUNTIFS($A$5:$A$504,$A76,$H$5:$H$504,$H76,$K$5:$K$504,"&lt;&gt;Cancelada",$C$5:$C$504,"&lt;"&amp;$E76,$E$5:$E$504,"&gt;"&amp;$C76)&gt;1,"Se solapa con otra actividad en esta sala",""))</f>
        <v/>
      </c>
    </row>
    <row r="77" ht="21" customHeight="1">
      <c r="A77" s="35" t="n"/>
      <c r="B77" s="36" t="n"/>
      <c r="C77" s="37">
        <f>IF($A77="","",IF($B77&lt;&gt;"",$B77,IF($A77=$A76,$E76,Configuración!$C$5)))</f>
        <v/>
      </c>
      <c r="D77" s="38" t="n"/>
      <c r="E77" s="37">
        <f>IF(OR($C77="",$D77=""),"",$C77+$D77/1440)</f>
        <v/>
      </c>
      <c r="F77" s="39" t="n"/>
      <c r="G77" s="40" t="n"/>
      <c r="H77" s="40" t="n"/>
      <c r="I77" s="40" t="n"/>
      <c r="J77" s="40" t="n"/>
      <c r="K77" s="40" t="n"/>
      <c r="L77" s="41" t="n"/>
      <c r="M77" s="42">
        <f>IF(OR($C77="",$E77="",$H77="",$K77="Cancelada"),"",IF(COUNTIFS($A$5:$A$504,$A77,$H$5:$H$504,$H77,$K$5:$K$504,"&lt;&gt;Cancelada",$C$5:$C$504,"&lt;"&amp;$E77,$E$5:$E$504,"&gt;"&amp;$C77)&gt;1,"Se solapa con otra actividad en esta sala",""))</f>
        <v/>
      </c>
    </row>
    <row r="78" ht="21" customHeight="1">
      <c r="A78" s="35" t="n"/>
      <c r="B78" s="36" t="n"/>
      <c r="C78" s="37">
        <f>IF($A78="","",IF($B78&lt;&gt;"",$B78,IF($A78=$A77,$E77,Configuración!$C$5)))</f>
        <v/>
      </c>
      <c r="D78" s="38" t="n"/>
      <c r="E78" s="37">
        <f>IF(OR($C78="",$D78=""),"",$C78+$D78/1440)</f>
        <v/>
      </c>
      <c r="F78" s="39" t="n"/>
      <c r="G78" s="40" t="n"/>
      <c r="H78" s="40" t="n"/>
      <c r="I78" s="40" t="n"/>
      <c r="J78" s="40" t="n"/>
      <c r="K78" s="40" t="n"/>
      <c r="L78" s="41" t="n"/>
      <c r="M78" s="42">
        <f>IF(OR($C78="",$E78="",$H78="",$K78="Cancelada"),"",IF(COUNTIFS($A$5:$A$504,$A78,$H$5:$H$504,$H78,$K$5:$K$504,"&lt;&gt;Cancelada",$C$5:$C$504,"&lt;"&amp;$E78,$E$5:$E$504,"&gt;"&amp;$C78)&gt;1,"Se solapa con otra actividad en esta sala",""))</f>
        <v/>
      </c>
    </row>
    <row r="79" ht="21" customHeight="1">
      <c r="A79" s="35" t="n"/>
      <c r="B79" s="36" t="n"/>
      <c r="C79" s="37">
        <f>IF($A79="","",IF($B79&lt;&gt;"",$B79,IF($A79=$A78,$E78,Configuración!$C$5)))</f>
        <v/>
      </c>
      <c r="D79" s="38" t="n"/>
      <c r="E79" s="37">
        <f>IF(OR($C79="",$D79=""),"",$C79+$D79/1440)</f>
        <v/>
      </c>
      <c r="F79" s="39" t="n"/>
      <c r="G79" s="40" t="n"/>
      <c r="H79" s="40" t="n"/>
      <c r="I79" s="40" t="n"/>
      <c r="J79" s="40" t="n"/>
      <c r="K79" s="40" t="n"/>
      <c r="L79" s="41" t="n"/>
      <c r="M79" s="42">
        <f>IF(OR($C79="",$E79="",$H79="",$K79="Cancelada"),"",IF(COUNTIFS($A$5:$A$504,$A79,$H$5:$H$504,$H79,$K$5:$K$504,"&lt;&gt;Cancelada",$C$5:$C$504,"&lt;"&amp;$E79,$E$5:$E$504,"&gt;"&amp;$C79)&gt;1,"Se solapa con otra actividad en esta sala",""))</f>
        <v/>
      </c>
    </row>
    <row r="80" ht="21" customHeight="1">
      <c r="A80" s="35" t="n"/>
      <c r="B80" s="36" t="n"/>
      <c r="C80" s="37">
        <f>IF($A80="","",IF($B80&lt;&gt;"",$B80,IF($A80=$A79,$E79,Configuración!$C$5)))</f>
        <v/>
      </c>
      <c r="D80" s="38" t="n"/>
      <c r="E80" s="37">
        <f>IF(OR($C80="",$D80=""),"",$C80+$D80/1440)</f>
        <v/>
      </c>
      <c r="F80" s="39" t="n"/>
      <c r="G80" s="40" t="n"/>
      <c r="H80" s="40" t="n"/>
      <c r="I80" s="40" t="n"/>
      <c r="J80" s="40" t="n"/>
      <c r="K80" s="40" t="n"/>
      <c r="L80" s="41" t="n"/>
      <c r="M80" s="42">
        <f>IF(OR($C80="",$E80="",$H80="",$K80="Cancelada"),"",IF(COUNTIFS($A$5:$A$504,$A80,$H$5:$H$504,$H80,$K$5:$K$504,"&lt;&gt;Cancelada",$C$5:$C$504,"&lt;"&amp;$E80,$E$5:$E$504,"&gt;"&amp;$C80)&gt;1,"Se solapa con otra actividad en esta sala",""))</f>
        <v/>
      </c>
    </row>
    <row r="81" ht="21" customHeight="1">
      <c r="A81" s="35" t="n"/>
      <c r="B81" s="36" t="n"/>
      <c r="C81" s="37">
        <f>IF($A81="","",IF($B81&lt;&gt;"",$B81,IF($A81=$A80,$E80,Configuración!$C$5)))</f>
        <v/>
      </c>
      <c r="D81" s="38" t="n"/>
      <c r="E81" s="37">
        <f>IF(OR($C81="",$D81=""),"",$C81+$D81/1440)</f>
        <v/>
      </c>
      <c r="F81" s="39" t="n"/>
      <c r="G81" s="40" t="n"/>
      <c r="H81" s="40" t="n"/>
      <c r="I81" s="40" t="n"/>
      <c r="J81" s="40" t="n"/>
      <c r="K81" s="40" t="n"/>
      <c r="L81" s="41" t="n"/>
      <c r="M81" s="42">
        <f>IF(OR($C81="",$E81="",$H81="",$K81="Cancelada"),"",IF(COUNTIFS($A$5:$A$504,$A81,$H$5:$H$504,$H81,$K$5:$K$504,"&lt;&gt;Cancelada",$C$5:$C$504,"&lt;"&amp;$E81,$E$5:$E$504,"&gt;"&amp;$C81)&gt;1,"Se solapa con otra actividad en esta sala",""))</f>
        <v/>
      </c>
    </row>
    <row r="82" ht="21" customHeight="1">
      <c r="A82" s="35" t="n"/>
      <c r="B82" s="36" t="n"/>
      <c r="C82" s="37">
        <f>IF($A82="","",IF($B82&lt;&gt;"",$B82,IF($A82=$A81,$E81,Configuración!$C$5)))</f>
        <v/>
      </c>
      <c r="D82" s="38" t="n"/>
      <c r="E82" s="37">
        <f>IF(OR($C82="",$D82=""),"",$C82+$D82/1440)</f>
        <v/>
      </c>
      <c r="F82" s="39" t="n"/>
      <c r="G82" s="40" t="n"/>
      <c r="H82" s="40" t="n"/>
      <c r="I82" s="40" t="n"/>
      <c r="J82" s="40" t="n"/>
      <c r="K82" s="40" t="n"/>
      <c r="L82" s="41" t="n"/>
      <c r="M82" s="42">
        <f>IF(OR($C82="",$E82="",$H82="",$K82="Cancelada"),"",IF(COUNTIFS($A$5:$A$504,$A82,$H$5:$H$504,$H82,$K$5:$K$504,"&lt;&gt;Cancelada",$C$5:$C$504,"&lt;"&amp;$E82,$E$5:$E$504,"&gt;"&amp;$C82)&gt;1,"Se solapa con otra actividad en esta sala",""))</f>
        <v/>
      </c>
    </row>
    <row r="83" ht="21" customHeight="1">
      <c r="A83" s="35" t="n"/>
      <c r="B83" s="36" t="n"/>
      <c r="C83" s="37">
        <f>IF($A83="","",IF($B83&lt;&gt;"",$B83,IF($A83=$A82,$E82,Configuración!$C$5)))</f>
        <v/>
      </c>
      <c r="D83" s="38" t="n"/>
      <c r="E83" s="37">
        <f>IF(OR($C83="",$D83=""),"",$C83+$D83/1440)</f>
        <v/>
      </c>
      <c r="F83" s="39" t="n"/>
      <c r="G83" s="40" t="n"/>
      <c r="H83" s="40" t="n"/>
      <c r="I83" s="40" t="n"/>
      <c r="J83" s="40" t="n"/>
      <c r="K83" s="40" t="n"/>
      <c r="L83" s="41" t="n"/>
      <c r="M83" s="42">
        <f>IF(OR($C83="",$E83="",$H83="",$K83="Cancelada"),"",IF(COUNTIFS($A$5:$A$504,$A83,$H$5:$H$504,$H83,$K$5:$K$504,"&lt;&gt;Cancelada",$C$5:$C$504,"&lt;"&amp;$E83,$E$5:$E$504,"&gt;"&amp;$C83)&gt;1,"Se solapa con otra actividad en esta sala",""))</f>
        <v/>
      </c>
    </row>
    <row r="84" ht="21" customHeight="1">
      <c r="A84" s="35" t="n"/>
      <c r="B84" s="36" t="n"/>
      <c r="C84" s="37">
        <f>IF($A84="","",IF($B84&lt;&gt;"",$B84,IF($A84=$A83,$E83,Configuración!$C$5)))</f>
        <v/>
      </c>
      <c r="D84" s="38" t="n"/>
      <c r="E84" s="37">
        <f>IF(OR($C84="",$D84=""),"",$C84+$D84/1440)</f>
        <v/>
      </c>
      <c r="F84" s="39" t="n"/>
      <c r="G84" s="40" t="n"/>
      <c r="H84" s="40" t="n"/>
      <c r="I84" s="40" t="n"/>
      <c r="J84" s="40" t="n"/>
      <c r="K84" s="40" t="n"/>
      <c r="L84" s="41" t="n"/>
      <c r="M84" s="42">
        <f>IF(OR($C84="",$E84="",$H84="",$K84="Cancelada"),"",IF(COUNTIFS($A$5:$A$504,$A84,$H$5:$H$504,$H84,$K$5:$K$504,"&lt;&gt;Cancelada",$C$5:$C$504,"&lt;"&amp;$E84,$E$5:$E$504,"&gt;"&amp;$C84)&gt;1,"Se solapa con otra actividad en esta sala",""))</f>
        <v/>
      </c>
    </row>
    <row r="85" ht="21" customHeight="1">
      <c r="A85" s="35" t="n"/>
      <c r="B85" s="36" t="n"/>
      <c r="C85" s="37">
        <f>IF($A85="","",IF($B85&lt;&gt;"",$B85,IF($A85=$A84,$E84,Configuración!$C$5)))</f>
        <v/>
      </c>
      <c r="D85" s="38" t="n"/>
      <c r="E85" s="37">
        <f>IF(OR($C85="",$D85=""),"",$C85+$D85/1440)</f>
        <v/>
      </c>
      <c r="F85" s="39" t="n"/>
      <c r="G85" s="40" t="n"/>
      <c r="H85" s="40" t="n"/>
      <c r="I85" s="40" t="n"/>
      <c r="J85" s="40" t="n"/>
      <c r="K85" s="40" t="n"/>
      <c r="L85" s="41" t="n"/>
      <c r="M85" s="42">
        <f>IF(OR($C85="",$E85="",$H85="",$K85="Cancelada"),"",IF(COUNTIFS($A$5:$A$504,$A85,$H$5:$H$504,$H85,$K$5:$K$504,"&lt;&gt;Cancelada",$C$5:$C$504,"&lt;"&amp;$E85,$E$5:$E$504,"&gt;"&amp;$C85)&gt;1,"Se solapa con otra actividad en esta sala",""))</f>
        <v/>
      </c>
    </row>
    <row r="86" ht="21" customHeight="1">
      <c r="A86" s="35" t="n"/>
      <c r="B86" s="36" t="n"/>
      <c r="C86" s="37">
        <f>IF($A86="","",IF($B86&lt;&gt;"",$B86,IF($A86=$A85,$E85,Configuración!$C$5)))</f>
        <v/>
      </c>
      <c r="D86" s="38" t="n"/>
      <c r="E86" s="37">
        <f>IF(OR($C86="",$D86=""),"",$C86+$D86/1440)</f>
        <v/>
      </c>
      <c r="F86" s="39" t="n"/>
      <c r="G86" s="40" t="n"/>
      <c r="H86" s="40" t="n"/>
      <c r="I86" s="40" t="n"/>
      <c r="J86" s="40" t="n"/>
      <c r="K86" s="40" t="n"/>
      <c r="L86" s="41" t="n"/>
      <c r="M86" s="42">
        <f>IF(OR($C86="",$E86="",$H86="",$K86="Cancelada"),"",IF(COUNTIFS($A$5:$A$504,$A86,$H$5:$H$504,$H86,$K$5:$K$504,"&lt;&gt;Cancelada",$C$5:$C$504,"&lt;"&amp;$E86,$E$5:$E$504,"&gt;"&amp;$C86)&gt;1,"Se solapa con otra actividad en esta sala",""))</f>
        <v/>
      </c>
    </row>
    <row r="87" ht="21" customHeight="1">
      <c r="A87" s="35" t="n"/>
      <c r="B87" s="36" t="n"/>
      <c r="C87" s="37">
        <f>IF($A87="","",IF($B87&lt;&gt;"",$B87,IF($A87=$A86,$E86,Configuración!$C$5)))</f>
        <v/>
      </c>
      <c r="D87" s="38" t="n"/>
      <c r="E87" s="37">
        <f>IF(OR($C87="",$D87=""),"",$C87+$D87/1440)</f>
        <v/>
      </c>
      <c r="F87" s="39" t="n"/>
      <c r="G87" s="40" t="n"/>
      <c r="H87" s="40" t="n"/>
      <c r="I87" s="40" t="n"/>
      <c r="J87" s="40" t="n"/>
      <c r="K87" s="40" t="n"/>
      <c r="L87" s="41" t="n"/>
      <c r="M87" s="42">
        <f>IF(OR($C87="",$E87="",$H87="",$K87="Cancelada"),"",IF(COUNTIFS($A$5:$A$504,$A87,$H$5:$H$504,$H87,$K$5:$K$504,"&lt;&gt;Cancelada",$C$5:$C$504,"&lt;"&amp;$E87,$E$5:$E$504,"&gt;"&amp;$C87)&gt;1,"Se solapa con otra actividad en esta sala",""))</f>
        <v/>
      </c>
    </row>
    <row r="88" ht="21" customHeight="1">
      <c r="A88" s="35" t="n"/>
      <c r="B88" s="36" t="n"/>
      <c r="C88" s="37">
        <f>IF($A88="","",IF($B88&lt;&gt;"",$B88,IF($A88=$A87,$E87,Configuración!$C$5)))</f>
        <v/>
      </c>
      <c r="D88" s="38" t="n"/>
      <c r="E88" s="37">
        <f>IF(OR($C88="",$D88=""),"",$C88+$D88/1440)</f>
        <v/>
      </c>
      <c r="F88" s="39" t="n"/>
      <c r="G88" s="40" t="n"/>
      <c r="H88" s="40" t="n"/>
      <c r="I88" s="40" t="n"/>
      <c r="J88" s="40" t="n"/>
      <c r="K88" s="40" t="n"/>
      <c r="L88" s="41" t="n"/>
      <c r="M88" s="42">
        <f>IF(OR($C88="",$E88="",$H88="",$K88="Cancelada"),"",IF(COUNTIFS($A$5:$A$504,$A88,$H$5:$H$504,$H88,$K$5:$K$504,"&lt;&gt;Cancelada",$C$5:$C$504,"&lt;"&amp;$E88,$E$5:$E$504,"&gt;"&amp;$C88)&gt;1,"Se solapa con otra actividad en esta sala",""))</f>
        <v/>
      </c>
    </row>
    <row r="89" ht="21" customHeight="1">
      <c r="A89" s="35" t="n"/>
      <c r="B89" s="36" t="n"/>
      <c r="C89" s="37">
        <f>IF($A89="","",IF($B89&lt;&gt;"",$B89,IF($A89=$A88,$E88,Configuración!$C$5)))</f>
        <v/>
      </c>
      <c r="D89" s="38" t="n"/>
      <c r="E89" s="37">
        <f>IF(OR($C89="",$D89=""),"",$C89+$D89/1440)</f>
        <v/>
      </c>
      <c r="F89" s="39" t="n"/>
      <c r="G89" s="40" t="n"/>
      <c r="H89" s="40" t="n"/>
      <c r="I89" s="40" t="n"/>
      <c r="J89" s="40" t="n"/>
      <c r="K89" s="40" t="n"/>
      <c r="L89" s="41" t="n"/>
      <c r="M89" s="42">
        <f>IF(OR($C89="",$E89="",$H89="",$K89="Cancelada"),"",IF(COUNTIFS($A$5:$A$504,$A89,$H$5:$H$504,$H89,$K$5:$K$504,"&lt;&gt;Cancelada",$C$5:$C$504,"&lt;"&amp;$E89,$E$5:$E$504,"&gt;"&amp;$C89)&gt;1,"Se solapa con otra actividad en esta sala",""))</f>
        <v/>
      </c>
    </row>
    <row r="90" ht="21" customHeight="1">
      <c r="A90" s="35" t="n"/>
      <c r="B90" s="36" t="n"/>
      <c r="C90" s="37">
        <f>IF($A90="","",IF($B90&lt;&gt;"",$B90,IF($A90=$A89,$E89,Configuración!$C$5)))</f>
        <v/>
      </c>
      <c r="D90" s="38" t="n"/>
      <c r="E90" s="37">
        <f>IF(OR($C90="",$D90=""),"",$C90+$D90/1440)</f>
        <v/>
      </c>
      <c r="F90" s="39" t="n"/>
      <c r="G90" s="40" t="n"/>
      <c r="H90" s="40" t="n"/>
      <c r="I90" s="40" t="n"/>
      <c r="J90" s="40" t="n"/>
      <c r="K90" s="40" t="n"/>
      <c r="L90" s="41" t="n"/>
      <c r="M90" s="42">
        <f>IF(OR($C90="",$E90="",$H90="",$K90="Cancelada"),"",IF(COUNTIFS($A$5:$A$504,$A90,$H$5:$H$504,$H90,$K$5:$K$504,"&lt;&gt;Cancelada",$C$5:$C$504,"&lt;"&amp;$E90,$E$5:$E$504,"&gt;"&amp;$C90)&gt;1,"Se solapa con otra actividad en esta sala",""))</f>
        <v/>
      </c>
    </row>
    <row r="91" ht="21" customHeight="1">
      <c r="A91" s="35" t="n"/>
      <c r="B91" s="36" t="n"/>
      <c r="C91" s="37">
        <f>IF($A91="","",IF($B91&lt;&gt;"",$B91,IF($A91=$A90,$E90,Configuración!$C$5)))</f>
        <v/>
      </c>
      <c r="D91" s="38" t="n"/>
      <c r="E91" s="37">
        <f>IF(OR($C91="",$D91=""),"",$C91+$D91/1440)</f>
        <v/>
      </c>
      <c r="F91" s="39" t="n"/>
      <c r="G91" s="40" t="n"/>
      <c r="H91" s="40" t="n"/>
      <c r="I91" s="40" t="n"/>
      <c r="J91" s="40" t="n"/>
      <c r="K91" s="40" t="n"/>
      <c r="L91" s="41" t="n"/>
      <c r="M91" s="42">
        <f>IF(OR($C91="",$E91="",$H91="",$K91="Cancelada"),"",IF(COUNTIFS($A$5:$A$504,$A91,$H$5:$H$504,$H91,$K$5:$K$504,"&lt;&gt;Cancelada",$C$5:$C$504,"&lt;"&amp;$E91,$E$5:$E$504,"&gt;"&amp;$C91)&gt;1,"Se solapa con otra actividad en esta sala",""))</f>
        <v/>
      </c>
    </row>
    <row r="92" ht="21" customHeight="1">
      <c r="A92" s="35" t="n"/>
      <c r="B92" s="36" t="n"/>
      <c r="C92" s="37">
        <f>IF($A92="","",IF($B92&lt;&gt;"",$B92,IF($A92=$A91,$E91,Configuración!$C$5)))</f>
        <v/>
      </c>
      <c r="D92" s="38" t="n"/>
      <c r="E92" s="37">
        <f>IF(OR($C92="",$D92=""),"",$C92+$D92/1440)</f>
        <v/>
      </c>
      <c r="F92" s="39" t="n"/>
      <c r="G92" s="40" t="n"/>
      <c r="H92" s="40" t="n"/>
      <c r="I92" s="40" t="n"/>
      <c r="J92" s="40" t="n"/>
      <c r="K92" s="40" t="n"/>
      <c r="L92" s="41" t="n"/>
      <c r="M92" s="42">
        <f>IF(OR($C92="",$E92="",$H92="",$K92="Cancelada"),"",IF(COUNTIFS($A$5:$A$504,$A92,$H$5:$H$504,$H92,$K$5:$K$504,"&lt;&gt;Cancelada",$C$5:$C$504,"&lt;"&amp;$E92,$E$5:$E$504,"&gt;"&amp;$C92)&gt;1,"Se solapa con otra actividad en esta sala",""))</f>
        <v/>
      </c>
    </row>
    <row r="93" ht="21" customHeight="1">
      <c r="A93" s="35" t="n"/>
      <c r="B93" s="36" t="n"/>
      <c r="C93" s="37">
        <f>IF($A93="","",IF($B93&lt;&gt;"",$B93,IF($A93=$A92,$E92,Configuración!$C$5)))</f>
        <v/>
      </c>
      <c r="D93" s="38" t="n"/>
      <c r="E93" s="37">
        <f>IF(OR($C93="",$D93=""),"",$C93+$D93/1440)</f>
        <v/>
      </c>
      <c r="F93" s="39" t="n"/>
      <c r="G93" s="40" t="n"/>
      <c r="H93" s="40" t="n"/>
      <c r="I93" s="40" t="n"/>
      <c r="J93" s="40" t="n"/>
      <c r="K93" s="40" t="n"/>
      <c r="L93" s="41" t="n"/>
      <c r="M93" s="42">
        <f>IF(OR($C93="",$E93="",$H93="",$K93="Cancelada"),"",IF(COUNTIFS($A$5:$A$504,$A93,$H$5:$H$504,$H93,$K$5:$K$504,"&lt;&gt;Cancelada",$C$5:$C$504,"&lt;"&amp;$E93,$E$5:$E$504,"&gt;"&amp;$C93)&gt;1,"Se solapa con otra actividad en esta sala",""))</f>
        <v/>
      </c>
    </row>
    <row r="94" ht="21" customHeight="1">
      <c r="A94" s="35" t="n"/>
      <c r="B94" s="36" t="n"/>
      <c r="C94" s="37">
        <f>IF($A94="","",IF($B94&lt;&gt;"",$B94,IF($A94=$A93,$E93,Configuración!$C$5)))</f>
        <v/>
      </c>
      <c r="D94" s="38" t="n"/>
      <c r="E94" s="37">
        <f>IF(OR($C94="",$D94=""),"",$C94+$D94/1440)</f>
        <v/>
      </c>
      <c r="F94" s="39" t="n"/>
      <c r="G94" s="40" t="n"/>
      <c r="H94" s="40" t="n"/>
      <c r="I94" s="40" t="n"/>
      <c r="J94" s="40" t="n"/>
      <c r="K94" s="40" t="n"/>
      <c r="L94" s="41" t="n"/>
      <c r="M94" s="42">
        <f>IF(OR($C94="",$E94="",$H94="",$K94="Cancelada"),"",IF(COUNTIFS($A$5:$A$504,$A94,$H$5:$H$504,$H94,$K$5:$K$504,"&lt;&gt;Cancelada",$C$5:$C$504,"&lt;"&amp;$E94,$E$5:$E$504,"&gt;"&amp;$C94)&gt;1,"Se solapa con otra actividad en esta sala",""))</f>
        <v/>
      </c>
    </row>
    <row r="95" ht="21" customHeight="1">
      <c r="A95" s="35" t="n"/>
      <c r="B95" s="36" t="n"/>
      <c r="C95" s="37">
        <f>IF($A95="","",IF($B95&lt;&gt;"",$B95,IF($A95=$A94,$E94,Configuración!$C$5)))</f>
        <v/>
      </c>
      <c r="D95" s="38" t="n"/>
      <c r="E95" s="37">
        <f>IF(OR($C95="",$D95=""),"",$C95+$D95/1440)</f>
        <v/>
      </c>
      <c r="F95" s="39" t="n"/>
      <c r="G95" s="40" t="n"/>
      <c r="H95" s="40" t="n"/>
      <c r="I95" s="40" t="n"/>
      <c r="J95" s="40" t="n"/>
      <c r="K95" s="40" t="n"/>
      <c r="L95" s="41" t="n"/>
      <c r="M95" s="42">
        <f>IF(OR($C95="",$E95="",$H95="",$K95="Cancelada"),"",IF(COUNTIFS($A$5:$A$504,$A95,$H$5:$H$504,$H95,$K$5:$K$504,"&lt;&gt;Cancelada",$C$5:$C$504,"&lt;"&amp;$E95,$E$5:$E$504,"&gt;"&amp;$C95)&gt;1,"Se solapa con otra actividad en esta sala",""))</f>
        <v/>
      </c>
    </row>
    <row r="96" ht="21" customHeight="1">
      <c r="A96" s="35" t="n"/>
      <c r="B96" s="36" t="n"/>
      <c r="C96" s="37">
        <f>IF($A96="","",IF($B96&lt;&gt;"",$B96,IF($A96=$A95,$E95,Configuración!$C$5)))</f>
        <v/>
      </c>
      <c r="D96" s="38" t="n"/>
      <c r="E96" s="37">
        <f>IF(OR($C96="",$D96=""),"",$C96+$D96/1440)</f>
        <v/>
      </c>
      <c r="F96" s="39" t="n"/>
      <c r="G96" s="40" t="n"/>
      <c r="H96" s="40" t="n"/>
      <c r="I96" s="40" t="n"/>
      <c r="J96" s="40" t="n"/>
      <c r="K96" s="40" t="n"/>
      <c r="L96" s="41" t="n"/>
      <c r="M96" s="42">
        <f>IF(OR($C96="",$E96="",$H96="",$K96="Cancelada"),"",IF(COUNTIFS($A$5:$A$504,$A96,$H$5:$H$504,$H96,$K$5:$K$504,"&lt;&gt;Cancelada",$C$5:$C$504,"&lt;"&amp;$E96,$E$5:$E$504,"&gt;"&amp;$C96)&gt;1,"Se solapa con otra actividad en esta sala",""))</f>
        <v/>
      </c>
    </row>
    <row r="97" ht="21" customHeight="1">
      <c r="A97" s="35" t="n"/>
      <c r="B97" s="36" t="n"/>
      <c r="C97" s="37">
        <f>IF($A97="","",IF($B97&lt;&gt;"",$B97,IF($A97=$A96,$E96,Configuración!$C$5)))</f>
        <v/>
      </c>
      <c r="D97" s="38" t="n"/>
      <c r="E97" s="37">
        <f>IF(OR($C97="",$D97=""),"",$C97+$D97/1440)</f>
        <v/>
      </c>
      <c r="F97" s="39" t="n"/>
      <c r="G97" s="40" t="n"/>
      <c r="H97" s="40" t="n"/>
      <c r="I97" s="40" t="n"/>
      <c r="J97" s="40" t="n"/>
      <c r="K97" s="40" t="n"/>
      <c r="L97" s="41" t="n"/>
      <c r="M97" s="42">
        <f>IF(OR($C97="",$E97="",$H97="",$K97="Cancelada"),"",IF(COUNTIFS($A$5:$A$504,$A97,$H$5:$H$504,$H97,$K$5:$K$504,"&lt;&gt;Cancelada",$C$5:$C$504,"&lt;"&amp;$E97,$E$5:$E$504,"&gt;"&amp;$C97)&gt;1,"Se solapa con otra actividad en esta sala",""))</f>
        <v/>
      </c>
    </row>
    <row r="98" ht="21" customHeight="1">
      <c r="A98" s="35" t="n"/>
      <c r="B98" s="36" t="n"/>
      <c r="C98" s="37">
        <f>IF($A98="","",IF($B98&lt;&gt;"",$B98,IF($A98=$A97,$E97,Configuración!$C$5)))</f>
        <v/>
      </c>
      <c r="D98" s="38" t="n"/>
      <c r="E98" s="37">
        <f>IF(OR($C98="",$D98=""),"",$C98+$D98/1440)</f>
        <v/>
      </c>
      <c r="F98" s="39" t="n"/>
      <c r="G98" s="40" t="n"/>
      <c r="H98" s="40" t="n"/>
      <c r="I98" s="40" t="n"/>
      <c r="J98" s="40" t="n"/>
      <c r="K98" s="40" t="n"/>
      <c r="L98" s="41" t="n"/>
      <c r="M98" s="42">
        <f>IF(OR($C98="",$E98="",$H98="",$K98="Cancelada"),"",IF(COUNTIFS($A$5:$A$504,$A98,$H$5:$H$504,$H98,$K$5:$K$504,"&lt;&gt;Cancelada",$C$5:$C$504,"&lt;"&amp;$E98,$E$5:$E$504,"&gt;"&amp;$C98)&gt;1,"Se solapa con otra actividad en esta sala",""))</f>
        <v/>
      </c>
    </row>
    <row r="99" ht="21" customHeight="1">
      <c r="A99" s="35" t="n"/>
      <c r="B99" s="36" t="n"/>
      <c r="C99" s="37">
        <f>IF($A99="","",IF($B99&lt;&gt;"",$B99,IF($A99=$A98,$E98,Configuración!$C$5)))</f>
        <v/>
      </c>
      <c r="D99" s="38" t="n"/>
      <c r="E99" s="37">
        <f>IF(OR($C99="",$D99=""),"",$C99+$D99/1440)</f>
        <v/>
      </c>
      <c r="F99" s="39" t="n"/>
      <c r="G99" s="40" t="n"/>
      <c r="H99" s="40" t="n"/>
      <c r="I99" s="40" t="n"/>
      <c r="J99" s="40" t="n"/>
      <c r="K99" s="40" t="n"/>
      <c r="L99" s="41" t="n"/>
      <c r="M99" s="42">
        <f>IF(OR($C99="",$E99="",$H99="",$K99="Cancelada"),"",IF(COUNTIFS($A$5:$A$504,$A99,$H$5:$H$504,$H99,$K$5:$K$504,"&lt;&gt;Cancelada",$C$5:$C$504,"&lt;"&amp;$E99,$E$5:$E$504,"&gt;"&amp;$C99)&gt;1,"Se solapa con otra actividad en esta sala",""))</f>
        <v/>
      </c>
    </row>
    <row r="100" ht="21" customHeight="1">
      <c r="A100" s="35" t="n"/>
      <c r="B100" s="36" t="n"/>
      <c r="C100" s="37">
        <f>IF($A100="","",IF($B100&lt;&gt;"",$B100,IF($A100=$A99,$E99,Configuración!$C$5)))</f>
        <v/>
      </c>
      <c r="D100" s="38" t="n"/>
      <c r="E100" s="37">
        <f>IF(OR($C100="",$D100=""),"",$C100+$D100/1440)</f>
        <v/>
      </c>
      <c r="F100" s="39" t="n"/>
      <c r="G100" s="40" t="n"/>
      <c r="H100" s="40" t="n"/>
      <c r="I100" s="40" t="n"/>
      <c r="J100" s="40" t="n"/>
      <c r="K100" s="40" t="n"/>
      <c r="L100" s="41" t="n"/>
      <c r="M100" s="42">
        <f>IF(OR($C100="",$E100="",$H100="",$K100="Cancelada"),"",IF(COUNTIFS($A$5:$A$504,$A100,$H$5:$H$504,$H100,$K$5:$K$504,"&lt;&gt;Cancelada",$C$5:$C$504,"&lt;"&amp;$E100,$E$5:$E$504,"&gt;"&amp;$C100)&gt;1,"Se solapa con otra actividad en esta sala",""))</f>
        <v/>
      </c>
    </row>
    <row r="101" ht="21" customHeight="1">
      <c r="A101" s="35" t="n"/>
      <c r="B101" s="36" t="n"/>
      <c r="C101" s="37">
        <f>IF($A101="","",IF($B101&lt;&gt;"",$B101,IF($A101=$A100,$E100,Configuración!$C$5)))</f>
        <v/>
      </c>
      <c r="D101" s="38" t="n"/>
      <c r="E101" s="37">
        <f>IF(OR($C101="",$D101=""),"",$C101+$D101/1440)</f>
        <v/>
      </c>
      <c r="F101" s="39" t="n"/>
      <c r="G101" s="40" t="n"/>
      <c r="H101" s="40" t="n"/>
      <c r="I101" s="40" t="n"/>
      <c r="J101" s="40" t="n"/>
      <c r="K101" s="40" t="n"/>
      <c r="L101" s="41" t="n"/>
      <c r="M101" s="42">
        <f>IF(OR($C101="",$E101="",$H101="",$K101="Cancelada"),"",IF(COUNTIFS($A$5:$A$504,$A101,$H$5:$H$504,$H101,$K$5:$K$504,"&lt;&gt;Cancelada",$C$5:$C$504,"&lt;"&amp;$E101,$E$5:$E$504,"&gt;"&amp;$C101)&gt;1,"Se solapa con otra actividad en esta sala",""))</f>
        <v/>
      </c>
    </row>
    <row r="102" ht="21" customHeight="1">
      <c r="A102" s="35" t="n"/>
      <c r="B102" s="36" t="n"/>
      <c r="C102" s="37">
        <f>IF($A102="","",IF($B102&lt;&gt;"",$B102,IF($A102=$A101,$E101,Configuración!$C$5)))</f>
        <v/>
      </c>
      <c r="D102" s="38" t="n"/>
      <c r="E102" s="37">
        <f>IF(OR($C102="",$D102=""),"",$C102+$D102/1440)</f>
        <v/>
      </c>
      <c r="F102" s="39" t="n"/>
      <c r="G102" s="40" t="n"/>
      <c r="H102" s="40" t="n"/>
      <c r="I102" s="40" t="n"/>
      <c r="J102" s="40" t="n"/>
      <c r="K102" s="40" t="n"/>
      <c r="L102" s="41" t="n"/>
      <c r="M102" s="42">
        <f>IF(OR($C102="",$E102="",$H102="",$K102="Cancelada"),"",IF(COUNTIFS($A$5:$A$504,$A102,$H$5:$H$504,$H102,$K$5:$K$504,"&lt;&gt;Cancelada",$C$5:$C$504,"&lt;"&amp;$E102,$E$5:$E$504,"&gt;"&amp;$C102)&gt;1,"Se solapa con otra actividad en esta sala",""))</f>
        <v/>
      </c>
    </row>
    <row r="103" ht="21" customHeight="1">
      <c r="A103" s="35" t="n"/>
      <c r="B103" s="36" t="n"/>
      <c r="C103" s="37">
        <f>IF($A103="","",IF($B103&lt;&gt;"",$B103,IF($A103=$A102,$E102,Configuración!$C$5)))</f>
        <v/>
      </c>
      <c r="D103" s="38" t="n"/>
      <c r="E103" s="37">
        <f>IF(OR($C103="",$D103=""),"",$C103+$D103/1440)</f>
        <v/>
      </c>
      <c r="F103" s="39" t="n"/>
      <c r="G103" s="40" t="n"/>
      <c r="H103" s="40" t="n"/>
      <c r="I103" s="40" t="n"/>
      <c r="J103" s="40" t="n"/>
      <c r="K103" s="40" t="n"/>
      <c r="L103" s="41" t="n"/>
      <c r="M103" s="42">
        <f>IF(OR($C103="",$E103="",$H103="",$K103="Cancelada"),"",IF(COUNTIFS($A$5:$A$504,$A103,$H$5:$H$504,$H103,$K$5:$K$504,"&lt;&gt;Cancelada",$C$5:$C$504,"&lt;"&amp;$E103,$E$5:$E$504,"&gt;"&amp;$C103)&gt;1,"Se solapa con otra actividad en esta sala",""))</f>
        <v/>
      </c>
    </row>
    <row r="104" ht="21" customHeight="1">
      <c r="A104" s="35" t="n"/>
      <c r="B104" s="36" t="n"/>
      <c r="C104" s="37">
        <f>IF($A104="","",IF($B104&lt;&gt;"",$B104,IF($A104=$A103,$E103,Configuración!$C$5)))</f>
        <v/>
      </c>
      <c r="D104" s="38" t="n"/>
      <c r="E104" s="37">
        <f>IF(OR($C104="",$D104=""),"",$C104+$D104/1440)</f>
        <v/>
      </c>
      <c r="F104" s="39" t="n"/>
      <c r="G104" s="40" t="n"/>
      <c r="H104" s="40" t="n"/>
      <c r="I104" s="40" t="n"/>
      <c r="J104" s="40" t="n"/>
      <c r="K104" s="40" t="n"/>
      <c r="L104" s="41" t="n"/>
      <c r="M104" s="42">
        <f>IF(OR($C104="",$E104="",$H104="",$K104="Cancelada"),"",IF(COUNTIFS($A$5:$A$504,$A104,$H$5:$H$504,$H104,$K$5:$K$504,"&lt;&gt;Cancelada",$C$5:$C$504,"&lt;"&amp;$E104,$E$5:$E$504,"&gt;"&amp;$C104)&gt;1,"Se solapa con otra actividad en esta sala",""))</f>
        <v/>
      </c>
    </row>
    <row r="105" ht="21" customHeight="1">
      <c r="A105" s="35" t="n"/>
      <c r="B105" s="36" t="n"/>
      <c r="C105" s="37">
        <f>IF($A105="","",IF($B105&lt;&gt;"",$B105,IF($A105=$A104,$E104,Configuración!$C$5)))</f>
        <v/>
      </c>
      <c r="D105" s="38" t="n"/>
      <c r="E105" s="37">
        <f>IF(OR($C105="",$D105=""),"",$C105+$D105/1440)</f>
        <v/>
      </c>
      <c r="F105" s="39" t="n"/>
      <c r="G105" s="40" t="n"/>
      <c r="H105" s="40" t="n"/>
      <c r="I105" s="40" t="n"/>
      <c r="J105" s="40" t="n"/>
      <c r="K105" s="40" t="n"/>
      <c r="L105" s="41" t="n"/>
      <c r="M105" s="42">
        <f>IF(OR($C105="",$E105="",$H105="",$K105="Cancelada"),"",IF(COUNTIFS($A$5:$A$504,$A105,$H$5:$H$504,$H105,$K$5:$K$504,"&lt;&gt;Cancelada",$C$5:$C$504,"&lt;"&amp;$E105,$E$5:$E$504,"&gt;"&amp;$C105)&gt;1,"Se solapa con otra actividad en esta sala",""))</f>
        <v/>
      </c>
    </row>
    <row r="106" ht="21" customHeight="1">
      <c r="A106" s="35" t="n"/>
      <c r="B106" s="36" t="n"/>
      <c r="C106" s="37">
        <f>IF($A106="","",IF($B106&lt;&gt;"",$B106,IF($A106=$A105,$E105,Configuración!$C$5)))</f>
        <v/>
      </c>
      <c r="D106" s="38" t="n"/>
      <c r="E106" s="37">
        <f>IF(OR($C106="",$D106=""),"",$C106+$D106/1440)</f>
        <v/>
      </c>
      <c r="F106" s="39" t="n"/>
      <c r="G106" s="40" t="n"/>
      <c r="H106" s="40" t="n"/>
      <c r="I106" s="40" t="n"/>
      <c r="J106" s="40" t="n"/>
      <c r="K106" s="40" t="n"/>
      <c r="L106" s="41" t="n"/>
      <c r="M106" s="42">
        <f>IF(OR($C106="",$E106="",$H106="",$K106="Cancelada"),"",IF(COUNTIFS($A$5:$A$504,$A106,$H$5:$H$504,$H106,$K$5:$K$504,"&lt;&gt;Cancelada",$C$5:$C$504,"&lt;"&amp;$E106,$E$5:$E$504,"&gt;"&amp;$C106)&gt;1,"Se solapa con otra actividad en esta sala",""))</f>
        <v/>
      </c>
    </row>
    <row r="107" ht="21" customHeight="1">
      <c r="A107" s="35" t="n"/>
      <c r="B107" s="36" t="n"/>
      <c r="C107" s="37">
        <f>IF($A107="","",IF($B107&lt;&gt;"",$B107,IF($A107=$A106,$E106,Configuración!$C$5)))</f>
        <v/>
      </c>
      <c r="D107" s="38" t="n"/>
      <c r="E107" s="37">
        <f>IF(OR($C107="",$D107=""),"",$C107+$D107/1440)</f>
        <v/>
      </c>
      <c r="F107" s="39" t="n"/>
      <c r="G107" s="40" t="n"/>
      <c r="H107" s="40" t="n"/>
      <c r="I107" s="40" t="n"/>
      <c r="J107" s="40" t="n"/>
      <c r="K107" s="40" t="n"/>
      <c r="L107" s="41" t="n"/>
      <c r="M107" s="42">
        <f>IF(OR($C107="",$E107="",$H107="",$K107="Cancelada"),"",IF(COUNTIFS($A$5:$A$504,$A107,$H$5:$H$504,$H107,$K$5:$K$504,"&lt;&gt;Cancelada",$C$5:$C$504,"&lt;"&amp;$E107,$E$5:$E$504,"&gt;"&amp;$C107)&gt;1,"Se solapa con otra actividad en esta sala",""))</f>
        <v/>
      </c>
    </row>
    <row r="108" ht="21" customHeight="1">
      <c r="A108" s="35" t="n"/>
      <c r="B108" s="36" t="n"/>
      <c r="C108" s="37">
        <f>IF($A108="","",IF($B108&lt;&gt;"",$B108,IF($A108=$A107,$E107,Configuración!$C$5)))</f>
        <v/>
      </c>
      <c r="D108" s="38" t="n"/>
      <c r="E108" s="37">
        <f>IF(OR($C108="",$D108=""),"",$C108+$D108/1440)</f>
        <v/>
      </c>
      <c r="F108" s="39" t="n"/>
      <c r="G108" s="40" t="n"/>
      <c r="H108" s="40" t="n"/>
      <c r="I108" s="40" t="n"/>
      <c r="J108" s="40" t="n"/>
      <c r="K108" s="40" t="n"/>
      <c r="L108" s="41" t="n"/>
      <c r="M108" s="42">
        <f>IF(OR($C108="",$E108="",$H108="",$K108="Cancelada"),"",IF(COUNTIFS($A$5:$A$504,$A108,$H$5:$H$504,$H108,$K$5:$K$504,"&lt;&gt;Cancelada",$C$5:$C$504,"&lt;"&amp;$E108,$E$5:$E$504,"&gt;"&amp;$C108)&gt;1,"Se solapa con otra actividad en esta sala",""))</f>
        <v/>
      </c>
    </row>
    <row r="109" ht="21" customHeight="1">
      <c r="A109" s="35" t="n"/>
      <c r="B109" s="36" t="n"/>
      <c r="C109" s="37">
        <f>IF($A109="","",IF($B109&lt;&gt;"",$B109,IF($A109=$A108,$E108,Configuración!$C$5)))</f>
        <v/>
      </c>
      <c r="D109" s="38" t="n"/>
      <c r="E109" s="37">
        <f>IF(OR($C109="",$D109=""),"",$C109+$D109/1440)</f>
        <v/>
      </c>
      <c r="F109" s="39" t="n"/>
      <c r="G109" s="40" t="n"/>
      <c r="H109" s="40" t="n"/>
      <c r="I109" s="40" t="n"/>
      <c r="J109" s="40" t="n"/>
      <c r="K109" s="40" t="n"/>
      <c r="L109" s="41" t="n"/>
      <c r="M109" s="42">
        <f>IF(OR($C109="",$E109="",$H109="",$K109="Cancelada"),"",IF(COUNTIFS($A$5:$A$504,$A109,$H$5:$H$504,$H109,$K$5:$K$504,"&lt;&gt;Cancelada",$C$5:$C$504,"&lt;"&amp;$E109,$E$5:$E$504,"&gt;"&amp;$C109)&gt;1,"Se solapa con otra actividad en esta sala",""))</f>
        <v/>
      </c>
    </row>
    <row r="110" ht="21" customHeight="1">
      <c r="A110" s="35" t="n"/>
      <c r="B110" s="36" t="n"/>
      <c r="C110" s="37">
        <f>IF($A110="","",IF($B110&lt;&gt;"",$B110,IF($A110=$A109,$E109,Configuración!$C$5)))</f>
        <v/>
      </c>
      <c r="D110" s="38" t="n"/>
      <c r="E110" s="37">
        <f>IF(OR($C110="",$D110=""),"",$C110+$D110/1440)</f>
        <v/>
      </c>
      <c r="F110" s="39" t="n"/>
      <c r="G110" s="40" t="n"/>
      <c r="H110" s="40" t="n"/>
      <c r="I110" s="40" t="n"/>
      <c r="J110" s="40" t="n"/>
      <c r="K110" s="40" t="n"/>
      <c r="L110" s="41" t="n"/>
      <c r="M110" s="42">
        <f>IF(OR($C110="",$E110="",$H110="",$K110="Cancelada"),"",IF(COUNTIFS($A$5:$A$504,$A110,$H$5:$H$504,$H110,$K$5:$K$504,"&lt;&gt;Cancelada",$C$5:$C$504,"&lt;"&amp;$E110,$E$5:$E$504,"&gt;"&amp;$C110)&gt;1,"Se solapa con otra actividad en esta sala",""))</f>
        <v/>
      </c>
    </row>
    <row r="111" ht="21" customHeight="1">
      <c r="A111" s="35" t="n"/>
      <c r="B111" s="36" t="n"/>
      <c r="C111" s="37">
        <f>IF($A111="","",IF($B111&lt;&gt;"",$B111,IF($A111=$A110,$E110,Configuración!$C$5)))</f>
        <v/>
      </c>
      <c r="D111" s="38" t="n"/>
      <c r="E111" s="37">
        <f>IF(OR($C111="",$D111=""),"",$C111+$D111/1440)</f>
        <v/>
      </c>
      <c r="F111" s="39" t="n"/>
      <c r="G111" s="40" t="n"/>
      <c r="H111" s="40" t="n"/>
      <c r="I111" s="40" t="n"/>
      <c r="J111" s="40" t="n"/>
      <c r="K111" s="40" t="n"/>
      <c r="L111" s="41" t="n"/>
      <c r="M111" s="42">
        <f>IF(OR($C111="",$E111="",$H111="",$K111="Cancelada"),"",IF(COUNTIFS($A$5:$A$504,$A111,$H$5:$H$504,$H111,$K$5:$K$504,"&lt;&gt;Cancelada",$C$5:$C$504,"&lt;"&amp;$E111,$E$5:$E$504,"&gt;"&amp;$C111)&gt;1,"Se solapa con otra actividad en esta sala",""))</f>
        <v/>
      </c>
    </row>
    <row r="112" ht="21" customHeight="1">
      <c r="A112" s="35" t="n"/>
      <c r="B112" s="36" t="n"/>
      <c r="C112" s="37">
        <f>IF($A112="","",IF($B112&lt;&gt;"",$B112,IF($A112=$A111,$E111,Configuración!$C$5)))</f>
        <v/>
      </c>
      <c r="D112" s="38" t="n"/>
      <c r="E112" s="37">
        <f>IF(OR($C112="",$D112=""),"",$C112+$D112/1440)</f>
        <v/>
      </c>
      <c r="F112" s="39" t="n"/>
      <c r="G112" s="40" t="n"/>
      <c r="H112" s="40" t="n"/>
      <c r="I112" s="40" t="n"/>
      <c r="J112" s="40" t="n"/>
      <c r="K112" s="40" t="n"/>
      <c r="L112" s="41" t="n"/>
      <c r="M112" s="42">
        <f>IF(OR($C112="",$E112="",$H112="",$K112="Cancelada"),"",IF(COUNTIFS($A$5:$A$504,$A112,$H$5:$H$504,$H112,$K$5:$K$504,"&lt;&gt;Cancelada",$C$5:$C$504,"&lt;"&amp;$E112,$E$5:$E$504,"&gt;"&amp;$C112)&gt;1,"Se solapa con otra actividad en esta sala",""))</f>
        <v/>
      </c>
    </row>
    <row r="113" ht="21" customHeight="1">
      <c r="A113" s="35" t="n"/>
      <c r="B113" s="36" t="n"/>
      <c r="C113" s="37">
        <f>IF($A113="","",IF($B113&lt;&gt;"",$B113,IF($A113=$A112,$E112,Configuración!$C$5)))</f>
        <v/>
      </c>
      <c r="D113" s="38" t="n"/>
      <c r="E113" s="37">
        <f>IF(OR($C113="",$D113=""),"",$C113+$D113/1440)</f>
        <v/>
      </c>
      <c r="F113" s="39" t="n"/>
      <c r="G113" s="40" t="n"/>
      <c r="H113" s="40" t="n"/>
      <c r="I113" s="40" t="n"/>
      <c r="J113" s="40" t="n"/>
      <c r="K113" s="40" t="n"/>
      <c r="L113" s="41" t="n"/>
      <c r="M113" s="42">
        <f>IF(OR($C113="",$E113="",$H113="",$K113="Cancelada"),"",IF(COUNTIFS($A$5:$A$504,$A113,$H$5:$H$504,$H113,$K$5:$K$504,"&lt;&gt;Cancelada",$C$5:$C$504,"&lt;"&amp;$E113,$E$5:$E$504,"&gt;"&amp;$C113)&gt;1,"Se solapa con otra actividad en esta sala",""))</f>
        <v/>
      </c>
    </row>
    <row r="114" ht="21" customHeight="1">
      <c r="A114" s="35" t="n"/>
      <c r="B114" s="36" t="n"/>
      <c r="C114" s="37">
        <f>IF($A114="","",IF($B114&lt;&gt;"",$B114,IF($A114=$A113,$E113,Configuración!$C$5)))</f>
        <v/>
      </c>
      <c r="D114" s="38" t="n"/>
      <c r="E114" s="37">
        <f>IF(OR($C114="",$D114=""),"",$C114+$D114/1440)</f>
        <v/>
      </c>
      <c r="F114" s="39" t="n"/>
      <c r="G114" s="40" t="n"/>
      <c r="H114" s="40" t="n"/>
      <c r="I114" s="40" t="n"/>
      <c r="J114" s="40" t="n"/>
      <c r="K114" s="40" t="n"/>
      <c r="L114" s="41" t="n"/>
      <c r="M114" s="42">
        <f>IF(OR($C114="",$E114="",$H114="",$K114="Cancelada"),"",IF(COUNTIFS($A$5:$A$504,$A114,$H$5:$H$504,$H114,$K$5:$K$504,"&lt;&gt;Cancelada",$C$5:$C$504,"&lt;"&amp;$E114,$E$5:$E$504,"&gt;"&amp;$C114)&gt;1,"Se solapa con otra actividad en esta sala",""))</f>
        <v/>
      </c>
    </row>
    <row r="115" ht="21" customHeight="1">
      <c r="A115" s="35" t="n"/>
      <c r="B115" s="36" t="n"/>
      <c r="C115" s="37">
        <f>IF($A115="","",IF($B115&lt;&gt;"",$B115,IF($A115=$A114,$E114,Configuración!$C$5)))</f>
        <v/>
      </c>
      <c r="D115" s="38" t="n"/>
      <c r="E115" s="37">
        <f>IF(OR($C115="",$D115=""),"",$C115+$D115/1440)</f>
        <v/>
      </c>
      <c r="F115" s="39" t="n"/>
      <c r="G115" s="40" t="n"/>
      <c r="H115" s="40" t="n"/>
      <c r="I115" s="40" t="n"/>
      <c r="J115" s="40" t="n"/>
      <c r="K115" s="40" t="n"/>
      <c r="L115" s="41" t="n"/>
      <c r="M115" s="42">
        <f>IF(OR($C115="",$E115="",$H115="",$K115="Cancelada"),"",IF(COUNTIFS($A$5:$A$504,$A115,$H$5:$H$504,$H115,$K$5:$K$504,"&lt;&gt;Cancelada",$C$5:$C$504,"&lt;"&amp;$E115,$E$5:$E$504,"&gt;"&amp;$C115)&gt;1,"Se solapa con otra actividad en esta sala",""))</f>
        <v/>
      </c>
    </row>
    <row r="116" ht="21" customHeight="1">
      <c r="A116" s="35" t="n"/>
      <c r="B116" s="36" t="n"/>
      <c r="C116" s="37">
        <f>IF($A116="","",IF($B116&lt;&gt;"",$B116,IF($A116=$A115,$E115,Configuración!$C$5)))</f>
        <v/>
      </c>
      <c r="D116" s="38" t="n"/>
      <c r="E116" s="37">
        <f>IF(OR($C116="",$D116=""),"",$C116+$D116/1440)</f>
        <v/>
      </c>
      <c r="F116" s="39" t="n"/>
      <c r="G116" s="40" t="n"/>
      <c r="H116" s="40" t="n"/>
      <c r="I116" s="40" t="n"/>
      <c r="J116" s="40" t="n"/>
      <c r="K116" s="40" t="n"/>
      <c r="L116" s="41" t="n"/>
      <c r="M116" s="42">
        <f>IF(OR($C116="",$E116="",$H116="",$K116="Cancelada"),"",IF(COUNTIFS($A$5:$A$504,$A116,$H$5:$H$504,$H116,$K$5:$K$504,"&lt;&gt;Cancelada",$C$5:$C$504,"&lt;"&amp;$E116,$E$5:$E$504,"&gt;"&amp;$C116)&gt;1,"Se solapa con otra actividad en esta sala",""))</f>
        <v/>
      </c>
    </row>
    <row r="117" ht="21" customHeight="1">
      <c r="A117" s="35" t="n"/>
      <c r="B117" s="36" t="n"/>
      <c r="C117" s="37">
        <f>IF($A117="","",IF($B117&lt;&gt;"",$B117,IF($A117=$A116,$E116,Configuración!$C$5)))</f>
        <v/>
      </c>
      <c r="D117" s="38" t="n"/>
      <c r="E117" s="37">
        <f>IF(OR($C117="",$D117=""),"",$C117+$D117/1440)</f>
        <v/>
      </c>
      <c r="F117" s="39" t="n"/>
      <c r="G117" s="40" t="n"/>
      <c r="H117" s="40" t="n"/>
      <c r="I117" s="40" t="n"/>
      <c r="J117" s="40" t="n"/>
      <c r="K117" s="40" t="n"/>
      <c r="L117" s="41" t="n"/>
      <c r="M117" s="42">
        <f>IF(OR($C117="",$E117="",$H117="",$K117="Cancelada"),"",IF(COUNTIFS($A$5:$A$504,$A117,$H$5:$H$504,$H117,$K$5:$K$504,"&lt;&gt;Cancelada",$C$5:$C$504,"&lt;"&amp;$E117,$E$5:$E$504,"&gt;"&amp;$C117)&gt;1,"Se solapa con otra actividad en esta sala",""))</f>
        <v/>
      </c>
    </row>
    <row r="118" ht="21" customHeight="1">
      <c r="A118" s="35" t="n"/>
      <c r="B118" s="36" t="n"/>
      <c r="C118" s="37">
        <f>IF($A118="","",IF($B118&lt;&gt;"",$B118,IF($A118=$A117,$E117,Configuración!$C$5)))</f>
        <v/>
      </c>
      <c r="D118" s="38" t="n"/>
      <c r="E118" s="37">
        <f>IF(OR($C118="",$D118=""),"",$C118+$D118/1440)</f>
        <v/>
      </c>
      <c r="F118" s="39" t="n"/>
      <c r="G118" s="40" t="n"/>
      <c r="H118" s="40" t="n"/>
      <c r="I118" s="40" t="n"/>
      <c r="J118" s="40" t="n"/>
      <c r="K118" s="40" t="n"/>
      <c r="L118" s="41" t="n"/>
      <c r="M118" s="42">
        <f>IF(OR($C118="",$E118="",$H118="",$K118="Cancelada"),"",IF(COUNTIFS($A$5:$A$504,$A118,$H$5:$H$504,$H118,$K$5:$K$504,"&lt;&gt;Cancelada",$C$5:$C$504,"&lt;"&amp;$E118,$E$5:$E$504,"&gt;"&amp;$C118)&gt;1,"Se solapa con otra actividad en esta sala",""))</f>
        <v/>
      </c>
    </row>
    <row r="119" ht="21" customHeight="1">
      <c r="A119" s="35" t="n"/>
      <c r="B119" s="36" t="n"/>
      <c r="C119" s="37">
        <f>IF($A119="","",IF($B119&lt;&gt;"",$B119,IF($A119=$A118,$E118,Configuración!$C$5)))</f>
        <v/>
      </c>
      <c r="D119" s="38" t="n"/>
      <c r="E119" s="37">
        <f>IF(OR($C119="",$D119=""),"",$C119+$D119/1440)</f>
        <v/>
      </c>
      <c r="F119" s="39" t="n"/>
      <c r="G119" s="40" t="n"/>
      <c r="H119" s="40" t="n"/>
      <c r="I119" s="40" t="n"/>
      <c r="J119" s="40" t="n"/>
      <c r="K119" s="40" t="n"/>
      <c r="L119" s="41" t="n"/>
      <c r="M119" s="42">
        <f>IF(OR($C119="",$E119="",$H119="",$K119="Cancelada"),"",IF(COUNTIFS($A$5:$A$504,$A119,$H$5:$H$504,$H119,$K$5:$K$504,"&lt;&gt;Cancelada",$C$5:$C$504,"&lt;"&amp;$E119,$E$5:$E$504,"&gt;"&amp;$C119)&gt;1,"Se solapa con otra actividad en esta sala",""))</f>
        <v/>
      </c>
    </row>
    <row r="120" ht="21" customHeight="1">
      <c r="A120" s="35" t="n"/>
      <c r="B120" s="36" t="n"/>
      <c r="C120" s="37">
        <f>IF($A120="","",IF($B120&lt;&gt;"",$B120,IF($A120=$A119,$E119,Configuración!$C$5)))</f>
        <v/>
      </c>
      <c r="D120" s="38" t="n"/>
      <c r="E120" s="37">
        <f>IF(OR($C120="",$D120=""),"",$C120+$D120/1440)</f>
        <v/>
      </c>
      <c r="F120" s="39" t="n"/>
      <c r="G120" s="40" t="n"/>
      <c r="H120" s="40" t="n"/>
      <c r="I120" s="40" t="n"/>
      <c r="J120" s="40" t="n"/>
      <c r="K120" s="40" t="n"/>
      <c r="L120" s="41" t="n"/>
      <c r="M120" s="42">
        <f>IF(OR($C120="",$E120="",$H120="",$K120="Cancelada"),"",IF(COUNTIFS($A$5:$A$504,$A120,$H$5:$H$504,$H120,$K$5:$K$504,"&lt;&gt;Cancelada",$C$5:$C$504,"&lt;"&amp;$E120,$E$5:$E$504,"&gt;"&amp;$C120)&gt;1,"Se solapa con otra actividad en esta sala",""))</f>
        <v/>
      </c>
    </row>
    <row r="121" ht="21" customHeight="1">
      <c r="A121" s="35" t="n"/>
      <c r="B121" s="36" t="n"/>
      <c r="C121" s="37">
        <f>IF($A121="","",IF($B121&lt;&gt;"",$B121,IF($A121=$A120,$E120,Configuración!$C$5)))</f>
        <v/>
      </c>
      <c r="D121" s="38" t="n"/>
      <c r="E121" s="37">
        <f>IF(OR($C121="",$D121=""),"",$C121+$D121/1440)</f>
        <v/>
      </c>
      <c r="F121" s="39" t="n"/>
      <c r="G121" s="40" t="n"/>
      <c r="H121" s="40" t="n"/>
      <c r="I121" s="40" t="n"/>
      <c r="J121" s="40" t="n"/>
      <c r="K121" s="40" t="n"/>
      <c r="L121" s="41" t="n"/>
      <c r="M121" s="42">
        <f>IF(OR($C121="",$E121="",$H121="",$K121="Cancelada"),"",IF(COUNTIFS($A$5:$A$504,$A121,$H$5:$H$504,$H121,$K$5:$K$504,"&lt;&gt;Cancelada",$C$5:$C$504,"&lt;"&amp;$E121,$E$5:$E$504,"&gt;"&amp;$C121)&gt;1,"Se solapa con otra actividad en esta sala",""))</f>
        <v/>
      </c>
    </row>
    <row r="122" ht="21" customHeight="1">
      <c r="A122" s="35" t="n"/>
      <c r="B122" s="36" t="n"/>
      <c r="C122" s="37">
        <f>IF($A122="","",IF($B122&lt;&gt;"",$B122,IF($A122=$A121,$E121,Configuración!$C$5)))</f>
        <v/>
      </c>
      <c r="D122" s="38" t="n"/>
      <c r="E122" s="37">
        <f>IF(OR($C122="",$D122=""),"",$C122+$D122/1440)</f>
        <v/>
      </c>
      <c r="F122" s="39" t="n"/>
      <c r="G122" s="40" t="n"/>
      <c r="H122" s="40" t="n"/>
      <c r="I122" s="40" t="n"/>
      <c r="J122" s="40" t="n"/>
      <c r="K122" s="40" t="n"/>
      <c r="L122" s="41" t="n"/>
      <c r="M122" s="42">
        <f>IF(OR($C122="",$E122="",$H122="",$K122="Cancelada"),"",IF(COUNTIFS($A$5:$A$504,$A122,$H$5:$H$504,$H122,$K$5:$K$504,"&lt;&gt;Cancelada",$C$5:$C$504,"&lt;"&amp;$E122,$E$5:$E$504,"&gt;"&amp;$C122)&gt;1,"Se solapa con otra actividad en esta sala",""))</f>
        <v/>
      </c>
    </row>
    <row r="123" ht="21" customHeight="1">
      <c r="A123" s="35" t="n"/>
      <c r="B123" s="36" t="n"/>
      <c r="C123" s="37">
        <f>IF($A123="","",IF($B123&lt;&gt;"",$B123,IF($A123=$A122,$E122,Configuración!$C$5)))</f>
        <v/>
      </c>
      <c r="D123" s="38" t="n"/>
      <c r="E123" s="37">
        <f>IF(OR($C123="",$D123=""),"",$C123+$D123/1440)</f>
        <v/>
      </c>
      <c r="F123" s="39" t="n"/>
      <c r="G123" s="40" t="n"/>
      <c r="H123" s="40" t="n"/>
      <c r="I123" s="40" t="n"/>
      <c r="J123" s="40" t="n"/>
      <c r="K123" s="40" t="n"/>
      <c r="L123" s="41" t="n"/>
      <c r="M123" s="42">
        <f>IF(OR($C123="",$E123="",$H123="",$K123="Cancelada"),"",IF(COUNTIFS($A$5:$A$504,$A123,$H$5:$H$504,$H123,$K$5:$K$504,"&lt;&gt;Cancelada",$C$5:$C$504,"&lt;"&amp;$E123,$E$5:$E$504,"&gt;"&amp;$C123)&gt;1,"Se solapa con otra actividad en esta sala",""))</f>
        <v/>
      </c>
    </row>
    <row r="124" ht="21" customHeight="1">
      <c r="A124" s="35" t="n"/>
      <c r="B124" s="36" t="n"/>
      <c r="C124" s="37">
        <f>IF($A124="","",IF($B124&lt;&gt;"",$B124,IF($A124=$A123,$E123,Configuración!$C$5)))</f>
        <v/>
      </c>
      <c r="D124" s="38" t="n"/>
      <c r="E124" s="37">
        <f>IF(OR($C124="",$D124=""),"",$C124+$D124/1440)</f>
        <v/>
      </c>
      <c r="F124" s="39" t="n"/>
      <c r="G124" s="40" t="n"/>
      <c r="H124" s="40" t="n"/>
      <c r="I124" s="40" t="n"/>
      <c r="J124" s="40" t="n"/>
      <c r="K124" s="40" t="n"/>
      <c r="L124" s="41" t="n"/>
      <c r="M124" s="42">
        <f>IF(OR($C124="",$E124="",$H124="",$K124="Cancelada"),"",IF(COUNTIFS($A$5:$A$504,$A124,$H$5:$H$504,$H124,$K$5:$K$504,"&lt;&gt;Cancelada",$C$5:$C$504,"&lt;"&amp;$E124,$E$5:$E$504,"&gt;"&amp;$C124)&gt;1,"Se solapa con otra actividad en esta sala",""))</f>
        <v/>
      </c>
    </row>
    <row r="125" ht="21" customHeight="1">
      <c r="A125" s="35" t="n"/>
      <c r="B125" s="36" t="n"/>
      <c r="C125" s="37">
        <f>IF($A125="","",IF($B125&lt;&gt;"",$B125,IF($A125=$A124,$E124,Configuración!$C$5)))</f>
        <v/>
      </c>
      <c r="D125" s="38" t="n"/>
      <c r="E125" s="37">
        <f>IF(OR($C125="",$D125=""),"",$C125+$D125/1440)</f>
        <v/>
      </c>
      <c r="F125" s="39" t="n"/>
      <c r="G125" s="40" t="n"/>
      <c r="H125" s="40" t="n"/>
      <c r="I125" s="40" t="n"/>
      <c r="J125" s="40" t="n"/>
      <c r="K125" s="40" t="n"/>
      <c r="L125" s="41" t="n"/>
      <c r="M125" s="42">
        <f>IF(OR($C125="",$E125="",$H125="",$K125="Cancelada"),"",IF(COUNTIFS($A$5:$A$504,$A125,$H$5:$H$504,$H125,$K$5:$K$504,"&lt;&gt;Cancelada",$C$5:$C$504,"&lt;"&amp;$E125,$E$5:$E$504,"&gt;"&amp;$C125)&gt;1,"Se solapa con otra actividad en esta sala",""))</f>
        <v/>
      </c>
    </row>
    <row r="126" ht="21" customHeight="1">
      <c r="A126" s="35" t="n"/>
      <c r="B126" s="36" t="n"/>
      <c r="C126" s="37">
        <f>IF($A126="","",IF($B126&lt;&gt;"",$B126,IF($A126=$A125,$E125,Configuración!$C$5)))</f>
        <v/>
      </c>
      <c r="D126" s="38" t="n"/>
      <c r="E126" s="37">
        <f>IF(OR($C126="",$D126=""),"",$C126+$D126/1440)</f>
        <v/>
      </c>
      <c r="F126" s="39" t="n"/>
      <c r="G126" s="40" t="n"/>
      <c r="H126" s="40" t="n"/>
      <c r="I126" s="40" t="n"/>
      <c r="J126" s="40" t="n"/>
      <c r="K126" s="40" t="n"/>
      <c r="L126" s="41" t="n"/>
      <c r="M126" s="42">
        <f>IF(OR($C126="",$E126="",$H126="",$K126="Cancelada"),"",IF(COUNTIFS($A$5:$A$504,$A126,$H$5:$H$504,$H126,$K$5:$K$504,"&lt;&gt;Cancelada",$C$5:$C$504,"&lt;"&amp;$E126,$E$5:$E$504,"&gt;"&amp;$C126)&gt;1,"Se solapa con otra actividad en esta sala",""))</f>
        <v/>
      </c>
    </row>
    <row r="127" ht="21" customHeight="1">
      <c r="A127" s="35" t="n"/>
      <c r="B127" s="36" t="n"/>
      <c r="C127" s="37">
        <f>IF($A127="","",IF($B127&lt;&gt;"",$B127,IF($A127=$A126,$E126,Configuración!$C$5)))</f>
        <v/>
      </c>
      <c r="D127" s="38" t="n"/>
      <c r="E127" s="37">
        <f>IF(OR($C127="",$D127=""),"",$C127+$D127/1440)</f>
        <v/>
      </c>
      <c r="F127" s="39" t="n"/>
      <c r="G127" s="40" t="n"/>
      <c r="H127" s="40" t="n"/>
      <c r="I127" s="40" t="n"/>
      <c r="J127" s="40" t="n"/>
      <c r="K127" s="40" t="n"/>
      <c r="L127" s="41" t="n"/>
      <c r="M127" s="42">
        <f>IF(OR($C127="",$E127="",$H127="",$K127="Cancelada"),"",IF(COUNTIFS($A$5:$A$504,$A127,$H$5:$H$504,$H127,$K$5:$K$504,"&lt;&gt;Cancelada",$C$5:$C$504,"&lt;"&amp;$E127,$E$5:$E$504,"&gt;"&amp;$C127)&gt;1,"Se solapa con otra actividad en esta sala",""))</f>
        <v/>
      </c>
    </row>
    <row r="128" ht="21" customHeight="1">
      <c r="A128" s="35" t="n"/>
      <c r="B128" s="36" t="n"/>
      <c r="C128" s="37">
        <f>IF($A128="","",IF($B128&lt;&gt;"",$B128,IF($A128=$A127,$E127,Configuración!$C$5)))</f>
        <v/>
      </c>
      <c r="D128" s="38" t="n"/>
      <c r="E128" s="37">
        <f>IF(OR($C128="",$D128=""),"",$C128+$D128/1440)</f>
        <v/>
      </c>
      <c r="F128" s="39" t="n"/>
      <c r="G128" s="40" t="n"/>
      <c r="H128" s="40" t="n"/>
      <c r="I128" s="40" t="n"/>
      <c r="J128" s="40" t="n"/>
      <c r="K128" s="40" t="n"/>
      <c r="L128" s="41" t="n"/>
      <c r="M128" s="42">
        <f>IF(OR($C128="",$E128="",$H128="",$K128="Cancelada"),"",IF(COUNTIFS($A$5:$A$504,$A128,$H$5:$H$504,$H128,$K$5:$K$504,"&lt;&gt;Cancelada",$C$5:$C$504,"&lt;"&amp;$E128,$E$5:$E$504,"&gt;"&amp;$C128)&gt;1,"Se solapa con otra actividad en esta sala",""))</f>
        <v/>
      </c>
    </row>
    <row r="129" ht="21" customHeight="1">
      <c r="A129" s="35" t="n"/>
      <c r="B129" s="36" t="n"/>
      <c r="C129" s="37">
        <f>IF($A129="","",IF($B129&lt;&gt;"",$B129,IF($A129=$A128,$E128,Configuración!$C$5)))</f>
        <v/>
      </c>
      <c r="D129" s="38" t="n"/>
      <c r="E129" s="37">
        <f>IF(OR($C129="",$D129=""),"",$C129+$D129/1440)</f>
        <v/>
      </c>
      <c r="F129" s="39" t="n"/>
      <c r="G129" s="40" t="n"/>
      <c r="H129" s="40" t="n"/>
      <c r="I129" s="40" t="n"/>
      <c r="J129" s="40" t="n"/>
      <c r="K129" s="40" t="n"/>
      <c r="L129" s="41" t="n"/>
      <c r="M129" s="42">
        <f>IF(OR($C129="",$E129="",$H129="",$K129="Cancelada"),"",IF(COUNTIFS($A$5:$A$504,$A129,$H$5:$H$504,$H129,$K$5:$K$504,"&lt;&gt;Cancelada",$C$5:$C$504,"&lt;"&amp;$E129,$E$5:$E$504,"&gt;"&amp;$C129)&gt;1,"Se solapa con otra actividad en esta sala",""))</f>
        <v/>
      </c>
    </row>
    <row r="130" ht="21" customHeight="1">
      <c r="A130" s="35" t="n"/>
      <c r="B130" s="36" t="n"/>
      <c r="C130" s="37">
        <f>IF($A130="","",IF($B130&lt;&gt;"",$B130,IF($A130=$A129,$E129,Configuración!$C$5)))</f>
        <v/>
      </c>
      <c r="D130" s="38" t="n"/>
      <c r="E130" s="37">
        <f>IF(OR($C130="",$D130=""),"",$C130+$D130/1440)</f>
        <v/>
      </c>
      <c r="F130" s="39" t="n"/>
      <c r="G130" s="40" t="n"/>
      <c r="H130" s="40" t="n"/>
      <c r="I130" s="40" t="n"/>
      <c r="J130" s="40" t="n"/>
      <c r="K130" s="40" t="n"/>
      <c r="L130" s="41" t="n"/>
      <c r="M130" s="42">
        <f>IF(OR($C130="",$E130="",$H130="",$K130="Cancelada"),"",IF(COUNTIFS($A$5:$A$504,$A130,$H$5:$H$504,$H130,$K$5:$K$504,"&lt;&gt;Cancelada",$C$5:$C$504,"&lt;"&amp;$E130,$E$5:$E$504,"&gt;"&amp;$C130)&gt;1,"Se solapa con otra actividad en esta sala",""))</f>
        <v/>
      </c>
    </row>
    <row r="131" ht="21" customHeight="1">
      <c r="A131" s="35" t="n"/>
      <c r="B131" s="36" t="n"/>
      <c r="C131" s="37">
        <f>IF($A131="","",IF($B131&lt;&gt;"",$B131,IF($A131=$A130,$E130,Configuración!$C$5)))</f>
        <v/>
      </c>
      <c r="D131" s="38" t="n"/>
      <c r="E131" s="37">
        <f>IF(OR($C131="",$D131=""),"",$C131+$D131/1440)</f>
        <v/>
      </c>
      <c r="F131" s="39" t="n"/>
      <c r="G131" s="40" t="n"/>
      <c r="H131" s="40" t="n"/>
      <c r="I131" s="40" t="n"/>
      <c r="J131" s="40" t="n"/>
      <c r="K131" s="40" t="n"/>
      <c r="L131" s="41" t="n"/>
      <c r="M131" s="42">
        <f>IF(OR($C131="",$E131="",$H131="",$K131="Cancelada"),"",IF(COUNTIFS($A$5:$A$504,$A131,$H$5:$H$504,$H131,$K$5:$K$504,"&lt;&gt;Cancelada",$C$5:$C$504,"&lt;"&amp;$E131,$E$5:$E$504,"&gt;"&amp;$C131)&gt;1,"Se solapa con otra actividad en esta sala",""))</f>
        <v/>
      </c>
    </row>
    <row r="132" ht="21" customHeight="1">
      <c r="A132" s="35" t="n"/>
      <c r="B132" s="36" t="n"/>
      <c r="C132" s="37">
        <f>IF($A132="","",IF($B132&lt;&gt;"",$B132,IF($A132=$A131,$E131,Configuración!$C$5)))</f>
        <v/>
      </c>
      <c r="D132" s="38" t="n"/>
      <c r="E132" s="37">
        <f>IF(OR($C132="",$D132=""),"",$C132+$D132/1440)</f>
        <v/>
      </c>
      <c r="F132" s="39" t="n"/>
      <c r="G132" s="40" t="n"/>
      <c r="H132" s="40" t="n"/>
      <c r="I132" s="40" t="n"/>
      <c r="J132" s="40" t="n"/>
      <c r="K132" s="40" t="n"/>
      <c r="L132" s="41" t="n"/>
      <c r="M132" s="42">
        <f>IF(OR($C132="",$E132="",$H132="",$K132="Cancelada"),"",IF(COUNTIFS($A$5:$A$504,$A132,$H$5:$H$504,$H132,$K$5:$K$504,"&lt;&gt;Cancelada",$C$5:$C$504,"&lt;"&amp;$E132,$E$5:$E$504,"&gt;"&amp;$C132)&gt;1,"Se solapa con otra actividad en esta sala",""))</f>
        <v/>
      </c>
    </row>
    <row r="133" ht="21" customHeight="1">
      <c r="A133" s="35" t="n"/>
      <c r="B133" s="36" t="n"/>
      <c r="C133" s="37">
        <f>IF($A133="","",IF($B133&lt;&gt;"",$B133,IF($A133=$A132,$E132,Configuración!$C$5)))</f>
        <v/>
      </c>
      <c r="D133" s="38" t="n"/>
      <c r="E133" s="37">
        <f>IF(OR($C133="",$D133=""),"",$C133+$D133/1440)</f>
        <v/>
      </c>
      <c r="F133" s="39" t="n"/>
      <c r="G133" s="40" t="n"/>
      <c r="H133" s="40" t="n"/>
      <c r="I133" s="40" t="n"/>
      <c r="J133" s="40" t="n"/>
      <c r="K133" s="40" t="n"/>
      <c r="L133" s="41" t="n"/>
      <c r="M133" s="42">
        <f>IF(OR($C133="",$E133="",$H133="",$K133="Cancelada"),"",IF(COUNTIFS($A$5:$A$504,$A133,$H$5:$H$504,$H133,$K$5:$K$504,"&lt;&gt;Cancelada",$C$5:$C$504,"&lt;"&amp;$E133,$E$5:$E$504,"&gt;"&amp;$C133)&gt;1,"Se solapa con otra actividad en esta sala",""))</f>
        <v/>
      </c>
    </row>
    <row r="134" ht="21" customHeight="1">
      <c r="A134" s="35" t="n"/>
      <c r="B134" s="36" t="n"/>
      <c r="C134" s="37">
        <f>IF($A134="","",IF($B134&lt;&gt;"",$B134,IF($A134=$A133,$E133,Configuración!$C$5)))</f>
        <v/>
      </c>
      <c r="D134" s="38" t="n"/>
      <c r="E134" s="37">
        <f>IF(OR($C134="",$D134=""),"",$C134+$D134/1440)</f>
        <v/>
      </c>
      <c r="F134" s="39" t="n"/>
      <c r="G134" s="40" t="n"/>
      <c r="H134" s="40" t="n"/>
      <c r="I134" s="40" t="n"/>
      <c r="J134" s="40" t="n"/>
      <c r="K134" s="40" t="n"/>
      <c r="L134" s="41" t="n"/>
      <c r="M134" s="42">
        <f>IF(OR($C134="",$E134="",$H134="",$K134="Cancelada"),"",IF(COUNTIFS($A$5:$A$504,$A134,$H$5:$H$504,$H134,$K$5:$K$504,"&lt;&gt;Cancelada",$C$5:$C$504,"&lt;"&amp;$E134,$E$5:$E$504,"&gt;"&amp;$C134)&gt;1,"Se solapa con otra actividad en esta sala",""))</f>
        <v/>
      </c>
    </row>
    <row r="135" ht="21" customHeight="1">
      <c r="A135" s="35" t="n"/>
      <c r="B135" s="36" t="n"/>
      <c r="C135" s="37">
        <f>IF($A135="","",IF($B135&lt;&gt;"",$B135,IF($A135=$A134,$E134,Configuración!$C$5)))</f>
        <v/>
      </c>
      <c r="D135" s="38" t="n"/>
      <c r="E135" s="37">
        <f>IF(OR($C135="",$D135=""),"",$C135+$D135/1440)</f>
        <v/>
      </c>
      <c r="F135" s="39" t="n"/>
      <c r="G135" s="40" t="n"/>
      <c r="H135" s="40" t="n"/>
      <c r="I135" s="40" t="n"/>
      <c r="J135" s="40" t="n"/>
      <c r="K135" s="40" t="n"/>
      <c r="L135" s="41" t="n"/>
      <c r="M135" s="42">
        <f>IF(OR($C135="",$E135="",$H135="",$K135="Cancelada"),"",IF(COUNTIFS($A$5:$A$504,$A135,$H$5:$H$504,$H135,$K$5:$K$504,"&lt;&gt;Cancelada",$C$5:$C$504,"&lt;"&amp;$E135,$E$5:$E$504,"&gt;"&amp;$C135)&gt;1,"Se solapa con otra actividad en esta sala",""))</f>
        <v/>
      </c>
    </row>
    <row r="136" ht="21" customHeight="1">
      <c r="A136" s="35" t="n"/>
      <c r="B136" s="36" t="n"/>
      <c r="C136" s="37">
        <f>IF($A136="","",IF($B136&lt;&gt;"",$B136,IF($A136=$A135,$E135,Configuración!$C$5)))</f>
        <v/>
      </c>
      <c r="D136" s="38" t="n"/>
      <c r="E136" s="37">
        <f>IF(OR($C136="",$D136=""),"",$C136+$D136/1440)</f>
        <v/>
      </c>
      <c r="F136" s="39" t="n"/>
      <c r="G136" s="40" t="n"/>
      <c r="H136" s="40" t="n"/>
      <c r="I136" s="40" t="n"/>
      <c r="J136" s="40" t="n"/>
      <c r="K136" s="40" t="n"/>
      <c r="L136" s="41" t="n"/>
      <c r="M136" s="42">
        <f>IF(OR($C136="",$E136="",$H136="",$K136="Cancelada"),"",IF(COUNTIFS($A$5:$A$504,$A136,$H$5:$H$504,$H136,$K$5:$K$504,"&lt;&gt;Cancelada",$C$5:$C$504,"&lt;"&amp;$E136,$E$5:$E$504,"&gt;"&amp;$C136)&gt;1,"Se solapa con otra actividad en esta sala",""))</f>
        <v/>
      </c>
    </row>
    <row r="137" ht="21" customHeight="1">
      <c r="A137" s="35" t="n"/>
      <c r="B137" s="36" t="n"/>
      <c r="C137" s="37">
        <f>IF($A137="","",IF($B137&lt;&gt;"",$B137,IF($A137=$A136,$E136,Configuración!$C$5)))</f>
        <v/>
      </c>
      <c r="D137" s="38" t="n"/>
      <c r="E137" s="37">
        <f>IF(OR($C137="",$D137=""),"",$C137+$D137/1440)</f>
        <v/>
      </c>
      <c r="F137" s="39" t="n"/>
      <c r="G137" s="40" t="n"/>
      <c r="H137" s="40" t="n"/>
      <c r="I137" s="40" t="n"/>
      <c r="J137" s="40" t="n"/>
      <c r="K137" s="40" t="n"/>
      <c r="L137" s="41" t="n"/>
      <c r="M137" s="42">
        <f>IF(OR($C137="",$E137="",$H137="",$K137="Cancelada"),"",IF(COUNTIFS($A$5:$A$504,$A137,$H$5:$H$504,$H137,$K$5:$K$504,"&lt;&gt;Cancelada",$C$5:$C$504,"&lt;"&amp;$E137,$E$5:$E$504,"&gt;"&amp;$C137)&gt;1,"Se solapa con otra actividad en esta sala",""))</f>
        <v/>
      </c>
    </row>
    <row r="138" ht="21" customHeight="1">
      <c r="A138" s="35" t="n"/>
      <c r="B138" s="36" t="n"/>
      <c r="C138" s="37">
        <f>IF($A138="","",IF($B138&lt;&gt;"",$B138,IF($A138=$A137,$E137,Configuración!$C$5)))</f>
        <v/>
      </c>
      <c r="D138" s="38" t="n"/>
      <c r="E138" s="37">
        <f>IF(OR($C138="",$D138=""),"",$C138+$D138/1440)</f>
        <v/>
      </c>
      <c r="F138" s="39" t="n"/>
      <c r="G138" s="40" t="n"/>
      <c r="H138" s="40" t="n"/>
      <c r="I138" s="40" t="n"/>
      <c r="J138" s="40" t="n"/>
      <c r="K138" s="40" t="n"/>
      <c r="L138" s="41" t="n"/>
      <c r="M138" s="42">
        <f>IF(OR($C138="",$E138="",$H138="",$K138="Cancelada"),"",IF(COUNTIFS($A$5:$A$504,$A138,$H$5:$H$504,$H138,$K$5:$K$504,"&lt;&gt;Cancelada",$C$5:$C$504,"&lt;"&amp;$E138,$E$5:$E$504,"&gt;"&amp;$C138)&gt;1,"Se solapa con otra actividad en esta sala",""))</f>
        <v/>
      </c>
    </row>
    <row r="139" ht="21" customHeight="1">
      <c r="A139" s="35" t="n"/>
      <c r="B139" s="36" t="n"/>
      <c r="C139" s="37">
        <f>IF($A139="","",IF($B139&lt;&gt;"",$B139,IF($A139=$A138,$E138,Configuración!$C$5)))</f>
        <v/>
      </c>
      <c r="D139" s="38" t="n"/>
      <c r="E139" s="37">
        <f>IF(OR($C139="",$D139=""),"",$C139+$D139/1440)</f>
        <v/>
      </c>
      <c r="F139" s="39" t="n"/>
      <c r="G139" s="40" t="n"/>
      <c r="H139" s="40" t="n"/>
      <c r="I139" s="40" t="n"/>
      <c r="J139" s="40" t="n"/>
      <c r="K139" s="40" t="n"/>
      <c r="L139" s="41" t="n"/>
      <c r="M139" s="42">
        <f>IF(OR($C139="",$E139="",$H139="",$K139="Cancelada"),"",IF(COUNTIFS($A$5:$A$504,$A139,$H$5:$H$504,$H139,$K$5:$K$504,"&lt;&gt;Cancelada",$C$5:$C$504,"&lt;"&amp;$E139,$E$5:$E$504,"&gt;"&amp;$C139)&gt;1,"Se solapa con otra actividad en esta sala",""))</f>
        <v/>
      </c>
    </row>
    <row r="140" ht="21" customHeight="1">
      <c r="A140" s="35" t="n"/>
      <c r="B140" s="36" t="n"/>
      <c r="C140" s="37">
        <f>IF($A140="","",IF($B140&lt;&gt;"",$B140,IF($A140=$A139,$E139,Configuración!$C$5)))</f>
        <v/>
      </c>
      <c r="D140" s="38" t="n"/>
      <c r="E140" s="37">
        <f>IF(OR($C140="",$D140=""),"",$C140+$D140/1440)</f>
        <v/>
      </c>
      <c r="F140" s="39" t="n"/>
      <c r="G140" s="40" t="n"/>
      <c r="H140" s="40" t="n"/>
      <c r="I140" s="40" t="n"/>
      <c r="J140" s="40" t="n"/>
      <c r="K140" s="40" t="n"/>
      <c r="L140" s="41" t="n"/>
      <c r="M140" s="42">
        <f>IF(OR($C140="",$E140="",$H140="",$K140="Cancelada"),"",IF(COUNTIFS($A$5:$A$504,$A140,$H$5:$H$504,$H140,$K$5:$K$504,"&lt;&gt;Cancelada",$C$5:$C$504,"&lt;"&amp;$E140,$E$5:$E$504,"&gt;"&amp;$C140)&gt;1,"Se solapa con otra actividad en esta sala",""))</f>
        <v/>
      </c>
    </row>
    <row r="141" ht="21" customHeight="1">
      <c r="A141" s="35" t="n"/>
      <c r="B141" s="36" t="n"/>
      <c r="C141" s="37">
        <f>IF($A141="","",IF($B141&lt;&gt;"",$B141,IF($A141=$A140,$E140,Configuración!$C$5)))</f>
        <v/>
      </c>
      <c r="D141" s="38" t="n"/>
      <c r="E141" s="37">
        <f>IF(OR($C141="",$D141=""),"",$C141+$D141/1440)</f>
        <v/>
      </c>
      <c r="F141" s="39" t="n"/>
      <c r="G141" s="40" t="n"/>
      <c r="H141" s="40" t="n"/>
      <c r="I141" s="40" t="n"/>
      <c r="J141" s="40" t="n"/>
      <c r="K141" s="40" t="n"/>
      <c r="L141" s="41" t="n"/>
      <c r="M141" s="42">
        <f>IF(OR($C141="",$E141="",$H141="",$K141="Cancelada"),"",IF(COUNTIFS($A$5:$A$504,$A141,$H$5:$H$504,$H141,$K$5:$K$504,"&lt;&gt;Cancelada",$C$5:$C$504,"&lt;"&amp;$E141,$E$5:$E$504,"&gt;"&amp;$C141)&gt;1,"Se solapa con otra actividad en esta sala",""))</f>
        <v/>
      </c>
    </row>
    <row r="142" ht="21" customHeight="1">
      <c r="A142" s="35" t="n"/>
      <c r="B142" s="36" t="n"/>
      <c r="C142" s="37">
        <f>IF($A142="","",IF($B142&lt;&gt;"",$B142,IF($A142=$A141,$E141,Configuración!$C$5)))</f>
        <v/>
      </c>
      <c r="D142" s="38" t="n"/>
      <c r="E142" s="37">
        <f>IF(OR($C142="",$D142=""),"",$C142+$D142/1440)</f>
        <v/>
      </c>
      <c r="F142" s="39" t="n"/>
      <c r="G142" s="40" t="n"/>
      <c r="H142" s="40" t="n"/>
      <c r="I142" s="40" t="n"/>
      <c r="J142" s="40" t="n"/>
      <c r="K142" s="40" t="n"/>
      <c r="L142" s="41" t="n"/>
      <c r="M142" s="42">
        <f>IF(OR($C142="",$E142="",$H142="",$K142="Cancelada"),"",IF(COUNTIFS($A$5:$A$504,$A142,$H$5:$H$504,$H142,$K$5:$K$504,"&lt;&gt;Cancelada",$C$5:$C$504,"&lt;"&amp;$E142,$E$5:$E$504,"&gt;"&amp;$C142)&gt;1,"Se solapa con otra actividad en esta sala",""))</f>
        <v/>
      </c>
    </row>
    <row r="143" ht="21" customHeight="1">
      <c r="A143" s="35" t="n"/>
      <c r="B143" s="36" t="n"/>
      <c r="C143" s="37">
        <f>IF($A143="","",IF($B143&lt;&gt;"",$B143,IF($A143=$A142,$E142,Configuración!$C$5)))</f>
        <v/>
      </c>
      <c r="D143" s="38" t="n"/>
      <c r="E143" s="37">
        <f>IF(OR($C143="",$D143=""),"",$C143+$D143/1440)</f>
        <v/>
      </c>
      <c r="F143" s="39" t="n"/>
      <c r="G143" s="40" t="n"/>
      <c r="H143" s="40" t="n"/>
      <c r="I143" s="40" t="n"/>
      <c r="J143" s="40" t="n"/>
      <c r="K143" s="40" t="n"/>
      <c r="L143" s="41" t="n"/>
      <c r="M143" s="42">
        <f>IF(OR($C143="",$E143="",$H143="",$K143="Cancelada"),"",IF(COUNTIFS($A$5:$A$504,$A143,$H$5:$H$504,$H143,$K$5:$K$504,"&lt;&gt;Cancelada",$C$5:$C$504,"&lt;"&amp;$E143,$E$5:$E$504,"&gt;"&amp;$C143)&gt;1,"Se solapa con otra actividad en esta sala",""))</f>
        <v/>
      </c>
    </row>
    <row r="144" ht="21" customHeight="1">
      <c r="A144" s="35" t="n"/>
      <c r="B144" s="36" t="n"/>
      <c r="C144" s="37">
        <f>IF($A144="","",IF($B144&lt;&gt;"",$B144,IF($A144=$A143,$E143,Configuración!$C$5)))</f>
        <v/>
      </c>
      <c r="D144" s="38" t="n"/>
      <c r="E144" s="37">
        <f>IF(OR($C144="",$D144=""),"",$C144+$D144/1440)</f>
        <v/>
      </c>
      <c r="F144" s="39" t="n"/>
      <c r="G144" s="40" t="n"/>
      <c r="H144" s="40" t="n"/>
      <c r="I144" s="40" t="n"/>
      <c r="J144" s="40" t="n"/>
      <c r="K144" s="40" t="n"/>
      <c r="L144" s="41" t="n"/>
      <c r="M144" s="42">
        <f>IF(OR($C144="",$E144="",$H144="",$K144="Cancelada"),"",IF(COUNTIFS($A$5:$A$504,$A144,$H$5:$H$504,$H144,$K$5:$K$504,"&lt;&gt;Cancelada",$C$5:$C$504,"&lt;"&amp;$E144,$E$5:$E$504,"&gt;"&amp;$C144)&gt;1,"Se solapa con otra actividad en esta sala",""))</f>
        <v/>
      </c>
    </row>
    <row r="145" ht="21" customHeight="1">
      <c r="A145" s="35" t="n"/>
      <c r="B145" s="36" t="n"/>
      <c r="C145" s="37">
        <f>IF($A145="","",IF($B145&lt;&gt;"",$B145,IF($A145=$A144,$E144,Configuración!$C$5)))</f>
        <v/>
      </c>
      <c r="D145" s="38" t="n"/>
      <c r="E145" s="37">
        <f>IF(OR($C145="",$D145=""),"",$C145+$D145/1440)</f>
        <v/>
      </c>
      <c r="F145" s="39" t="n"/>
      <c r="G145" s="40" t="n"/>
      <c r="H145" s="40" t="n"/>
      <c r="I145" s="40" t="n"/>
      <c r="J145" s="40" t="n"/>
      <c r="K145" s="40" t="n"/>
      <c r="L145" s="41" t="n"/>
      <c r="M145" s="42">
        <f>IF(OR($C145="",$E145="",$H145="",$K145="Cancelada"),"",IF(COUNTIFS($A$5:$A$504,$A145,$H$5:$H$504,$H145,$K$5:$K$504,"&lt;&gt;Cancelada",$C$5:$C$504,"&lt;"&amp;$E145,$E$5:$E$504,"&gt;"&amp;$C145)&gt;1,"Se solapa con otra actividad en esta sala",""))</f>
        <v/>
      </c>
    </row>
    <row r="146" ht="21" customHeight="1">
      <c r="A146" s="35" t="n"/>
      <c r="B146" s="36" t="n"/>
      <c r="C146" s="37">
        <f>IF($A146="","",IF($B146&lt;&gt;"",$B146,IF($A146=$A145,$E145,Configuración!$C$5)))</f>
        <v/>
      </c>
      <c r="D146" s="38" t="n"/>
      <c r="E146" s="37">
        <f>IF(OR($C146="",$D146=""),"",$C146+$D146/1440)</f>
        <v/>
      </c>
      <c r="F146" s="39" t="n"/>
      <c r="G146" s="40" t="n"/>
      <c r="H146" s="40" t="n"/>
      <c r="I146" s="40" t="n"/>
      <c r="J146" s="40" t="n"/>
      <c r="K146" s="40" t="n"/>
      <c r="L146" s="41" t="n"/>
      <c r="M146" s="42">
        <f>IF(OR($C146="",$E146="",$H146="",$K146="Cancelada"),"",IF(COUNTIFS($A$5:$A$504,$A146,$H$5:$H$504,$H146,$K$5:$K$504,"&lt;&gt;Cancelada",$C$5:$C$504,"&lt;"&amp;$E146,$E$5:$E$504,"&gt;"&amp;$C146)&gt;1,"Se solapa con otra actividad en esta sala",""))</f>
        <v/>
      </c>
    </row>
    <row r="147" ht="21" customHeight="1">
      <c r="A147" s="35" t="n"/>
      <c r="B147" s="36" t="n"/>
      <c r="C147" s="37">
        <f>IF($A147="","",IF($B147&lt;&gt;"",$B147,IF($A147=$A146,$E146,Configuración!$C$5)))</f>
        <v/>
      </c>
      <c r="D147" s="38" t="n"/>
      <c r="E147" s="37">
        <f>IF(OR($C147="",$D147=""),"",$C147+$D147/1440)</f>
        <v/>
      </c>
      <c r="F147" s="39" t="n"/>
      <c r="G147" s="40" t="n"/>
      <c r="H147" s="40" t="n"/>
      <c r="I147" s="40" t="n"/>
      <c r="J147" s="40" t="n"/>
      <c r="K147" s="40" t="n"/>
      <c r="L147" s="41" t="n"/>
      <c r="M147" s="42">
        <f>IF(OR($C147="",$E147="",$H147="",$K147="Cancelada"),"",IF(COUNTIFS($A$5:$A$504,$A147,$H$5:$H$504,$H147,$K$5:$K$504,"&lt;&gt;Cancelada",$C$5:$C$504,"&lt;"&amp;$E147,$E$5:$E$504,"&gt;"&amp;$C147)&gt;1,"Se solapa con otra actividad en esta sala",""))</f>
        <v/>
      </c>
    </row>
    <row r="148" ht="21" customHeight="1">
      <c r="A148" s="35" t="n"/>
      <c r="B148" s="36" t="n"/>
      <c r="C148" s="37">
        <f>IF($A148="","",IF($B148&lt;&gt;"",$B148,IF($A148=$A147,$E147,Configuración!$C$5)))</f>
        <v/>
      </c>
      <c r="D148" s="38" t="n"/>
      <c r="E148" s="37">
        <f>IF(OR($C148="",$D148=""),"",$C148+$D148/1440)</f>
        <v/>
      </c>
      <c r="F148" s="39" t="n"/>
      <c r="G148" s="40" t="n"/>
      <c r="H148" s="40" t="n"/>
      <c r="I148" s="40" t="n"/>
      <c r="J148" s="40" t="n"/>
      <c r="K148" s="40" t="n"/>
      <c r="L148" s="41" t="n"/>
      <c r="M148" s="42">
        <f>IF(OR($C148="",$E148="",$H148="",$K148="Cancelada"),"",IF(COUNTIFS($A$5:$A$504,$A148,$H$5:$H$504,$H148,$K$5:$K$504,"&lt;&gt;Cancelada",$C$5:$C$504,"&lt;"&amp;$E148,$E$5:$E$504,"&gt;"&amp;$C148)&gt;1,"Se solapa con otra actividad en esta sala",""))</f>
        <v/>
      </c>
    </row>
    <row r="149" ht="21" customHeight="1">
      <c r="A149" s="35" t="n"/>
      <c r="B149" s="36" t="n"/>
      <c r="C149" s="37">
        <f>IF($A149="","",IF($B149&lt;&gt;"",$B149,IF($A149=$A148,$E148,Configuración!$C$5)))</f>
        <v/>
      </c>
      <c r="D149" s="38" t="n"/>
      <c r="E149" s="37">
        <f>IF(OR($C149="",$D149=""),"",$C149+$D149/1440)</f>
        <v/>
      </c>
      <c r="F149" s="39" t="n"/>
      <c r="G149" s="40" t="n"/>
      <c r="H149" s="40" t="n"/>
      <c r="I149" s="40" t="n"/>
      <c r="J149" s="40" t="n"/>
      <c r="K149" s="40" t="n"/>
      <c r="L149" s="41" t="n"/>
      <c r="M149" s="42">
        <f>IF(OR($C149="",$E149="",$H149="",$K149="Cancelada"),"",IF(COUNTIFS($A$5:$A$504,$A149,$H$5:$H$504,$H149,$K$5:$K$504,"&lt;&gt;Cancelada",$C$5:$C$504,"&lt;"&amp;$E149,$E$5:$E$504,"&gt;"&amp;$C149)&gt;1,"Se solapa con otra actividad en esta sala",""))</f>
        <v/>
      </c>
    </row>
    <row r="150" ht="21" customHeight="1">
      <c r="A150" s="35" t="n"/>
      <c r="B150" s="36" t="n"/>
      <c r="C150" s="37">
        <f>IF($A150="","",IF($B150&lt;&gt;"",$B150,IF($A150=$A149,$E149,Configuración!$C$5)))</f>
        <v/>
      </c>
      <c r="D150" s="38" t="n"/>
      <c r="E150" s="37">
        <f>IF(OR($C150="",$D150=""),"",$C150+$D150/1440)</f>
        <v/>
      </c>
      <c r="F150" s="39" t="n"/>
      <c r="G150" s="40" t="n"/>
      <c r="H150" s="40" t="n"/>
      <c r="I150" s="40" t="n"/>
      <c r="J150" s="40" t="n"/>
      <c r="K150" s="40" t="n"/>
      <c r="L150" s="41" t="n"/>
      <c r="M150" s="42">
        <f>IF(OR($C150="",$E150="",$H150="",$K150="Cancelada"),"",IF(COUNTIFS($A$5:$A$504,$A150,$H$5:$H$504,$H150,$K$5:$K$504,"&lt;&gt;Cancelada",$C$5:$C$504,"&lt;"&amp;$E150,$E$5:$E$504,"&gt;"&amp;$C150)&gt;1,"Se solapa con otra actividad en esta sala",""))</f>
        <v/>
      </c>
    </row>
    <row r="151" ht="21" customHeight="1">
      <c r="A151" s="35" t="n"/>
      <c r="B151" s="36" t="n"/>
      <c r="C151" s="37">
        <f>IF($A151="","",IF($B151&lt;&gt;"",$B151,IF($A151=$A150,$E150,Configuración!$C$5)))</f>
        <v/>
      </c>
      <c r="D151" s="38" t="n"/>
      <c r="E151" s="37">
        <f>IF(OR($C151="",$D151=""),"",$C151+$D151/1440)</f>
        <v/>
      </c>
      <c r="F151" s="39" t="n"/>
      <c r="G151" s="40" t="n"/>
      <c r="H151" s="40" t="n"/>
      <c r="I151" s="40" t="n"/>
      <c r="J151" s="40" t="n"/>
      <c r="K151" s="40" t="n"/>
      <c r="L151" s="41" t="n"/>
      <c r="M151" s="42">
        <f>IF(OR($C151="",$E151="",$H151="",$K151="Cancelada"),"",IF(COUNTIFS($A$5:$A$504,$A151,$H$5:$H$504,$H151,$K$5:$K$504,"&lt;&gt;Cancelada",$C$5:$C$504,"&lt;"&amp;$E151,$E$5:$E$504,"&gt;"&amp;$C151)&gt;1,"Se solapa con otra actividad en esta sala",""))</f>
        <v/>
      </c>
    </row>
    <row r="152" ht="21" customHeight="1">
      <c r="A152" s="35" t="n"/>
      <c r="B152" s="36" t="n"/>
      <c r="C152" s="37">
        <f>IF($A152="","",IF($B152&lt;&gt;"",$B152,IF($A152=$A151,$E151,Configuración!$C$5)))</f>
        <v/>
      </c>
      <c r="D152" s="38" t="n"/>
      <c r="E152" s="37">
        <f>IF(OR($C152="",$D152=""),"",$C152+$D152/1440)</f>
        <v/>
      </c>
      <c r="F152" s="39" t="n"/>
      <c r="G152" s="40" t="n"/>
      <c r="H152" s="40" t="n"/>
      <c r="I152" s="40" t="n"/>
      <c r="J152" s="40" t="n"/>
      <c r="K152" s="40" t="n"/>
      <c r="L152" s="41" t="n"/>
      <c r="M152" s="42">
        <f>IF(OR($C152="",$E152="",$H152="",$K152="Cancelada"),"",IF(COUNTIFS($A$5:$A$504,$A152,$H$5:$H$504,$H152,$K$5:$K$504,"&lt;&gt;Cancelada",$C$5:$C$504,"&lt;"&amp;$E152,$E$5:$E$504,"&gt;"&amp;$C152)&gt;1,"Se solapa con otra actividad en esta sala",""))</f>
        <v/>
      </c>
    </row>
    <row r="153" ht="21" customHeight="1">
      <c r="A153" s="35" t="n"/>
      <c r="B153" s="36" t="n"/>
      <c r="C153" s="37">
        <f>IF($A153="","",IF($B153&lt;&gt;"",$B153,IF($A153=$A152,$E152,Configuración!$C$5)))</f>
        <v/>
      </c>
      <c r="D153" s="38" t="n"/>
      <c r="E153" s="37">
        <f>IF(OR($C153="",$D153=""),"",$C153+$D153/1440)</f>
        <v/>
      </c>
      <c r="F153" s="39" t="n"/>
      <c r="G153" s="40" t="n"/>
      <c r="H153" s="40" t="n"/>
      <c r="I153" s="40" t="n"/>
      <c r="J153" s="40" t="n"/>
      <c r="K153" s="40" t="n"/>
      <c r="L153" s="41" t="n"/>
      <c r="M153" s="42">
        <f>IF(OR($C153="",$E153="",$H153="",$K153="Cancelada"),"",IF(COUNTIFS($A$5:$A$504,$A153,$H$5:$H$504,$H153,$K$5:$K$504,"&lt;&gt;Cancelada",$C$5:$C$504,"&lt;"&amp;$E153,$E$5:$E$504,"&gt;"&amp;$C153)&gt;1,"Se solapa con otra actividad en esta sala",""))</f>
        <v/>
      </c>
    </row>
    <row r="154" ht="21" customHeight="1">
      <c r="A154" s="35" t="n"/>
      <c r="B154" s="36" t="n"/>
      <c r="C154" s="37">
        <f>IF($A154="","",IF($B154&lt;&gt;"",$B154,IF($A154=$A153,$E153,Configuración!$C$5)))</f>
        <v/>
      </c>
      <c r="D154" s="38" t="n"/>
      <c r="E154" s="37">
        <f>IF(OR($C154="",$D154=""),"",$C154+$D154/1440)</f>
        <v/>
      </c>
      <c r="F154" s="39" t="n"/>
      <c r="G154" s="40" t="n"/>
      <c r="H154" s="40" t="n"/>
      <c r="I154" s="40" t="n"/>
      <c r="J154" s="40" t="n"/>
      <c r="K154" s="40" t="n"/>
      <c r="L154" s="41" t="n"/>
      <c r="M154" s="42">
        <f>IF(OR($C154="",$E154="",$H154="",$K154="Cancelada"),"",IF(COUNTIFS($A$5:$A$504,$A154,$H$5:$H$504,$H154,$K$5:$K$504,"&lt;&gt;Cancelada",$C$5:$C$504,"&lt;"&amp;$E154,$E$5:$E$504,"&gt;"&amp;$C154)&gt;1,"Se solapa con otra actividad en esta sala",""))</f>
        <v/>
      </c>
    </row>
    <row r="155" ht="21" customHeight="1">
      <c r="A155" s="35" t="n"/>
      <c r="B155" s="36" t="n"/>
      <c r="C155" s="37">
        <f>IF($A155="","",IF($B155&lt;&gt;"",$B155,IF($A155=$A154,$E154,Configuración!$C$5)))</f>
        <v/>
      </c>
      <c r="D155" s="38" t="n"/>
      <c r="E155" s="37">
        <f>IF(OR($C155="",$D155=""),"",$C155+$D155/1440)</f>
        <v/>
      </c>
      <c r="F155" s="39" t="n"/>
      <c r="G155" s="40" t="n"/>
      <c r="H155" s="40" t="n"/>
      <c r="I155" s="40" t="n"/>
      <c r="J155" s="40" t="n"/>
      <c r="K155" s="40" t="n"/>
      <c r="L155" s="41" t="n"/>
      <c r="M155" s="42">
        <f>IF(OR($C155="",$E155="",$H155="",$K155="Cancelada"),"",IF(COUNTIFS($A$5:$A$504,$A155,$H$5:$H$504,$H155,$K$5:$K$504,"&lt;&gt;Cancelada",$C$5:$C$504,"&lt;"&amp;$E155,$E$5:$E$504,"&gt;"&amp;$C155)&gt;1,"Se solapa con otra actividad en esta sala",""))</f>
        <v/>
      </c>
    </row>
    <row r="156" ht="21" customHeight="1">
      <c r="A156" s="35" t="n"/>
      <c r="B156" s="36" t="n"/>
      <c r="C156" s="37">
        <f>IF($A156="","",IF($B156&lt;&gt;"",$B156,IF($A156=$A155,$E155,Configuración!$C$5)))</f>
        <v/>
      </c>
      <c r="D156" s="38" t="n"/>
      <c r="E156" s="37">
        <f>IF(OR($C156="",$D156=""),"",$C156+$D156/1440)</f>
        <v/>
      </c>
      <c r="F156" s="39" t="n"/>
      <c r="G156" s="40" t="n"/>
      <c r="H156" s="40" t="n"/>
      <c r="I156" s="40" t="n"/>
      <c r="J156" s="40" t="n"/>
      <c r="K156" s="40" t="n"/>
      <c r="L156" s="41" t="n"/>
      <c r="M156" s="42">
        <f>IF(OR($C156="",$E156="",$H156="",$K156="Cancelada"),"",IF(COUNTIFS($A$5:$A$504,$A156,$H$5:$H$504,$H156,$K$5:$K$504,"&lt;&gt;Cancelada",$C$5:$C$504,"&lt;"&amp;$E156,$E$5:$E$504,"&gt;"&amp;$C156)&gt;1,"Se solapa con otra actividad en esta sala",""))</f>
        <v/>
      </c>
    </row>
    <row r="157" ht="21" customHeight="1">
      <c r="A157" s="35" t="n"/>
      <c r="B157" s="36" t="n"/>
      <c r="C157" s="37">
        <f>IF($A157="","",IF($B157&lt;&gt;"",$B157,IF($A157=$A156,$E156,Configuración!$C$5)))</f>
        <v/>
      </c>
      <c r="D157" s="38" t="n"/>
      <c r="E157" s="37">
        <f>IF(OR($C157="",$D157=""),"",$C157+$D157/1440)</f>
        <v/>
      </c>
      <c r="F157" s="39" t="n"/>
      <c r="G157" s="40" t="n"/>
      <c r="H157" s="40" t="n"/>
      <c r="I157" s="40" t="n"/>
      <c r="J157" s="40" t="n"/>
      <c r="K157" s="40" t="n"/>
      <c r="L157" s="41" t="n"/>
      <c r="M157" s="42">
        <f>IF(OR($C157="",$E157="",$H157="",$K157="Cancelada"),"",IF(COUNTIFS($A$5:$A$504,$A157,$H$5:$H$504,$H157,$K$5:$K$504,"&lt;&gt;Cancelada",$C$5:$C$504,"&lt;"&amp;$E157,$E$5:$E$504,"&gt;"&amp;$C157)&gt;1,"Se solapa con otra actividad en esta sala",""))</f>
        <v/>
      </c>
    </row>
    <row r="158" ht="21" customHeight="1">
      <c r="A158" s="35" t="n"/>
      <c r="B158" s="36" t="n"/>
      <c r="C158" s="37">
        <f>IF($A158="","",IF($B158&lt;&gt;"",$B158,IF($A158=$A157,$E157,Configuración!$C$5)))</f>
        <v/>
      </c>
      <c r="D158" s="38" t="n"/>
      <c r="E158" s="37">
        <f>IF(OR($C158="",$D158=""),"",$C158+$D158/1440)</f>
        <v/>
      </c>
      <c r="F158" s="39" t="n"/>
      <c r="G158" s="40" t="n"/>
      <c r="H158" s="40" t="n"/>
      <c r="I158" s="40" t="n"/>
      <c r="J158" s="40" t="n"/>
      <c r="K158" s="40" t="n"/>
      <c r="L158" s="41" t="n"/>
      <c r="M158" s="42">
        <f>IF(OR($C158="",$E158="",$H158="",$K158="Cancelada"),"",IF(COUNTIFS($A$5:$A$504,$A158,$H$5:$H$504,$H158,$K$5:$K$504,"&lt;&gt;Cancelada",$C$5:$C$504,"&lt;"&amp;$E158,$E$5:$E$504,"&gt;"&amp;$C158)&gt;1,"Se solapa con otra actividad en esta sala",""))</f>
        <v/>
      </c>
    </row>
    <row r="159" ht="21" customHeight="1">
      <c r="A159" s="35" t="n"/>
      <c r="B159" s="36" t="n"/>
      <c r="C159" s="37">
        <f>IF($A159="","",IF($B159&lt;&gt;"",$B159,IF($A159=$A158,$E158,Configuración!$C$5)))</f>
        <v/>
      </c>
      <c r="D159" s="38" t="n"/>
      <c r="E159" s="37">
        <f>IF(OR($C159="",$D159=""),"",$C159+$D159/1440)</f>
        <v/>
      </c>
      <c r="F159" s="39" t="n"/>
      <c r="G159" s="40" t="n"/>
      <c r="H159" s="40" t="n"/>
      <c r="I159" s="40" t="n"/>
      <c r="J159" s="40" t="n"/>
      <c r="K159" s="40" t="n"/>
      <c r="L159" s="41" t="n"/>
      <c r="M159" s="42">
        <f>IF(OR($C159="",$E159="",$H159="",$K159="Cancelada"),"",IF(COUNTIFS($A$5:$A$504,$A159,$H$5:$H$504,$H159,$K$5:$K$504,"&lt;&gt;Cancelada",$C$5:$C$504,"&lt;"&amp;$E159,$E$5:$E$504,"&gt;"&amp;$C159)&gt;1,"Se solapa con otra actividad en esta sala",""))</f>
        <v/>
      </c>
    </row>
    <row r="160" ht="21" customHeight="1">
      <c r="A160" s="35" t="n"/>
      <c r="B160" s="36" t="n"/>
      <c r="C160" s="37">
        <f>IF($A160="","",IF($B160&lt;&gt;"",$B160,IF($A160=$A159,$E159,Configuración!$C$5)))</f>
        <v/>
      </c>
      <c r="D160" s="38" t="n"/>
      <c r="E160" s="37">
        <f>IF(OR($C160="",$D160=""),"",$C160+$D160/1440)</f>
        <v/>
      </c>
      <c r="F160" s="39" t="n"/>
      <c r="G160" s="40" t="n"/>
      <c r="H160" s="40" t="n"/>
      <c r="I160" s="40" t="n"/>
      <c r="J160" s="40" t="n"/>
      <c r="K160" s="40" t="n"/>
      <c r="L160" s="41" t="n"/>
      <c r="M160" s="42">
        <f>IF(OR($C160="",$E160="",$H160="",$K160="Cancelada"),"",IF(COUNTIFS($A$5:$A$504,$A160,$H$5:$H$504,$H160,$K$5:$K$504,"&lt;&gt;Cancelada",$C$5:$C$504,"&lt;"&amp;$E160,$E$5:$E$504,"&gt;"&amp;$C160)&gt;1,"Se solapa con otra actividad en esta sala",""))</f>
        <v/>
      </c>
    </row>
    <row r="161" ht="21" customHeight="1">
      <c r="A161" s="35" t="n"/>
      <c r="B161" s="36" t="n"/>
      <c r="C161" s="37">
        <f>IF($A161="","",IF($B161&lt;&gt;"",$B161,IF($A161=$A160,$E160,Configuración!$C$5)))</f>
        <v/>
      </c>
      <c r="D161" s="38" t="n"/>
      <c r="E161" s="37">
        <f>IF(OR($C161="",$D161=""),"",$C161+$D161/1440)</f>
        <v/>
      </c>
      <c r="F161" s="39" t="n"/>
      <c r="G161" s="40" t="n"/>
      <c r="H161" s="40" t="n"/>
      <c r="I161" s="40" t="n"/>
      <c r="J161" s="40" t="n"/>
      <c r="K161" s="40" t="n"/>
      <c r="L161" s="41" t="n"/>
      <c r="M161" s="42">
        <f>IF(OR($C161="",$E161="",$H161="",$K161="Cancelada"),"",IF(COUNTIFS($A$5:$A$504,$A161,$H$5:$H$504,$H161,$K$5:$K$504,"&lt;&gt;Cancelada",$C$5:$C$504,"&lt;"&amp;$E161,$E$5:$E$504,"&gt;"&amp;$C161)&gt;1,"Se solapa con otra actividad en esta sala",""))</f>
        <v/>
      </c>
    </row>
    <row r="162" ht="21" customHeight="1">
      <c r="A162" s="35" t="n"/>
      <c r="B162" s="36" t="n"/>
      <c r="C162" s="37">
        <f>IF($A162="","",IF($B162&lt;&gt;"",$B162,IF($A162=$A161,$E161,Configuración!$C$5)))</f>
        <v/>
      </c>
      <c r="D162" s="38" t="n"/>
      <c r="E162" s="37">
        <f>IF(OR($C162="",$D162=""),"",$C162+$D162/1440)</f>
        <v/>
      </c>
      <c r="F162" s="39" t="n"/>
      <c r="G162" s="40" t="n"/>
      <c r="H162" s="40" t="n"/>
      <c r="I162" s="40" t="n"/>
      <c r="J162" s="40" t="n"/>
      <c r="K162" s="40" t="n"/>
      <c r="L162" s="41" t="n"/>
      <c r="M162" s="42">
        <f>IF(OR($C162="",$E162="",$H162="",$K162="Cancelada"),"",IF(COUNTIFS($A$5:$A$504,$A162,$H$5:$H$504,$H162,$K$5:$K$504,"&lt;&gt;Cancelada",$C$5:$C$504,"&lt;"&amp;$E162,$E$5:$E$504,"&gt;"&amp;$C162)&gt;1,"Se solapa con otra actividad en esta sala",""))</f>
        <v/>
      </c>
    </row>
    <row r="163" ht="21" customHeight="1">
      <c r="A163" s="35" t="n"/>
      <c r="B163" s="36" t="n"/>
      <c r="C163" s="37">
        <f>IF($A163="","",IF($B163&lt;&gt;"",$B163,IF($A163=$A162,$E162,Configuración!$C$5)))</f>
        <v/>
      </c>
      <c r="D163" s="38" t="n"/>
      <c r="E163" s="37">
        <f>IF(OR($C163="",$D163=""),"",$C163+$D163/1440)</f>
        <v/>
      </c>
      <c r="F163" s="39" t="n"/>
      <c r="G163" s="40" t="n"/>
      <c r="H163" s="40" t="n"/>
      <c r="I163" s="40" t="n"/>
      <c r="J163" s="40" t="n"/>
      <c r="K163" s="40" t="n"/>
      <c r="L163" s="41" t="n"/>
      <c r="M163" s="42">
        <f>IF(OR($C163="",$E163="",$H163="",$K163="Cancelada"),"",IF(COUNTIFS($A$5:$A$504,$A163,$H$5:$H$504,$H163,$K$5:$K$504,"&lt;&gt;Cancelada",$C$5:$C$504,"&lt;"&amp;$E163,$E$5:$E$504,"&gt;"&amp;$C163)&gt;1,"Se solapa con otra actividad en esta sala",""))</f>
        <v/>
      </c>
    </row>
    <row r="164" ht="21" customHeight="1">
      <c r="A164" s="35" t="n"/>
      <c r="B164" s="36" t="n"/>
      <c r="C164" s="37">
        <f>IF($A164="","",IF($B164&lt;&gt;"",$B164,IF($A164=$A163,$E163,Configuración!$C$5)))</f>
        <v/>
      </c>
      <c r="D164" s="38" t="n"/>
      <c r="E164" s="37">
        <f>IF(OR($C164="",$D164=""),"",$C164+$D164/1440)</f>
        <v/>
      </c>
      <c r="F164" s="39" t="n"/>
      <c r="G164" s="40" t="n"/>
      <c r="H164" s="40" t="n"/>
      <c r="I164" s="40" t="n"/>
      <c r="J164" s="40" t="n"/>
      <c r="K164" s="40" t="n"/>
      <c r="L164" s="41" t="n"/>
      <c r="M164" s="42">
        <f>IF(OR($C164="",$E164="",$H164="",$K164="Cancelada"),"",IF(COUNTIFS($A$5:$A$504,$A164,$H$5:$H$504,$H164,$K$5:$K$504,"&lt;&gt;Cancelada",$C$5:$C$504,"&lt;"&amp;$E164,$E$5:$E$504,"&gt;"&amp;$C164)&gt;1,"Se solapa con otra actividad en esta sala",""))</f>
        <v/>
      </c>
    </row>
    <row r="165" ht="21" customHeight="1">
      <c r="A165" s="35" t="n"/>
      <c r="B165" s="36" t="n"/>
      <c r="C165" s="37">
        <f>IF($A165="","",IF($B165&lt;&gt;"",$B165,IF($A165=$A164,$E164,Configuración!$C$5)))</f>
        <v/>
      </c>
      <c r="D165" s="38" t="n"/>
      <c r="E165" s="37">
        <f>IF(OR($C165="",$D165=""),"",$C165+$D165/1440)</f>
        <v/>
      </c>
      <c r="F165" s="39" t="n"/>
      <c r="G165" s="40" t="n"/>
      <c r="H165" s="40" t="n"/>
      <c r="I165" s="40" t="n"/>
      <c r="J165" s="40" t="n"/>
      <c r="K165" s="40" t="n"/>
      <c r="L165" s="41" t="n"/>
      <c r="M165" s="42">
        <f>IF(OR($C165="",$E165="",$H165="",$K165="Cancelada"),"",IF(COUNTIFS($A$5:$A$504,$A165,$H$5:$H$504,$H165,$K$5:$K$504,"&lt;&gt;Cancelada",$C$5:$C$504,"&lt;"&amp;$E165,$E$5:$E$504,"&gt;"&amp;$C165)&gt;1,"Se solapa con otra actividad en esta sala",""))</f>
        <v/>
      </c>
    </row>
    <row r="166" ht="21" customHeight="1">
      <c r="A166" s="35" t="n"/>
      <c r="B166" s="36" t="n"/>
      <c r="C166" s="37">
        <f>IF($A166="","",IF($B166&lt;&gt;"",$B166,IF($A166=$A165,$E165,Configuración!$C$5)))</f>
        <v/>
      </c>
      <c r="D166" s="38" t="n"/>
      <c r="E166" s="37">
        <f>IF(OR($C166="",$D166=""),"",$C166+$D166/1440)</f>
        <v/>
      </c>
      <c r="F166" s="39" t="n"/>
      <c r="G166" s="40" t="n"/>
      <c r="H166" s="40" t="n"/>
      <c r="I166" s="40" t="n"/>
      <c r="J166" s="40" t="n"/>
      <c r="K166" s="40" t="n"/>
      <c r="L166" s="41" t="n"/>
      <c r="M166" s="42">
        <f>IF(OR($C166="",$E166="",$H166="",$K166="Cancelada"),"",IF(COUNTIFS($A$5:$A$504,$A166,$H$5:$H$504,$H166,$K$5:$K$504,"&lt;&gt;Cancelada",$C$5:$C$504,"&lt;"&amp;$E166,$E$5:$E$504,"&gt;"&amp;$C166)&gt;1,"Se solapa con otra actividad en esta sala",""))</f>
        <v/>
      </c>
    </row>
    <row r="167" ht="21" customHeight="1">
      <c r="A167" s="35" t="n"/>
      <c r="B167" s="36" t="n"/>
      <c r="C167" s="37">
        <f>IF($A167="","",IF($B167&lt;&gt;"",$B167,IF($A167=$A166,$E166,Configuración!$C$5)))</f>
        <v/>
      </c>
      <c r="D167" s="38" t="n"/>
      <c r="E167" s="37">
        <f>IF(OR($C167="",$D167=""),"",$C167+$D167/1440)</f>
        <v/>
      </c>
      <c r="F167" s="39" t="n"/>
      <c r="G167" s="40" t="n"/>
      <c r="H167" s="40" t="n"/>
      <c r="I167" s="40" t="n"/>
      <c r="J167" s="40" t="n"/>
      <c r="K167" s="40" t="n"/>
      <c r="L167" s="41" t="n"/>
      <c r="M167" s="42">
        <f>IF(OR($C167="",$E167="",$H167="",$K167="Cancelada"),"",IF(COUNTIFS($A$5:$A$504,$A167,$H$5:$H$504,$H167,$K$5:$K$504,"&lt;&gt;Cancelada",$C$5:$C$504,"&lt;"&amp;$E167,$E$5:$E$504,"&gt;"&amp;$C167)&gt;1,"Se solapa con otra actividad en esta sala",""))</f>
        <v/>
      </c>
    </row>
    <row r="168" ht="21" customHeight="1">
      <c r="A168" s="35" t="n"/>
      <c r="B168" s="36" t="n"/>
      <c r="C168" s="37">
        <f>IF($A168="","",IF($B168&lt;&gt;"",$B168,IF($A168=$A167,$E167,Configuración!$C$5)))</f>
        <v/>
      </c>
      <c r="D168" s="38" t="n"/>
      <c r="E168" s="37">
        <f>IF(OR($C168="",$D168=""),"",$C168+$D168/1440)</f>
        <v/>
      </c>
      <c r="F168" s="39" t="n"/>
      <c r="G168" s="40" t="n"/>
      <c r="H168" s="40" t="n"/>
      <c r="I168" s="40" t="n"/>
      <c r="J168" s="40" t="n"/>
      <c r="K168" s="40" t="n"/>
      <c r="L168" s="41" t="n"/>
      <c r="M168" s="42">
        <f>IF(OR($C168="",$E168="",$H168="",$K168="Cancelada"),"",IF(COUNTIFS($A$5:$A$504,$A168,$H$5:$H$504,$H168,$K$5:$K$504,"&lt;&gt;Cancelada",$C$5:$C$504,"&lt;"&amp;$E168,$E$5:$E$504,"&gt;"&amp;$C168)&gt;1,"Se solapa con otra actividad en esta sala",""))</f>
        <v/>
      </c>
    </row>
    <row r="169" ht="21" customHeight="1">
      <c r="A169" s="35" t="n"/>
      <c r="B169" s="36" t="n"/>
      <c r="C169" s="37">
        <f>IF($A169="","",IF($B169&lt;&gt;"",$B169,IF($A169=$A168,$E168,Configuración!$C$5)))</f>
        <v/>
      </c>
      <c r="D169" s="38" t="n"/>
      <c r="E169" s="37">
        <f>IF(OR($C169="",$D169=""),"",$C169+$D169/1440)</f>
        <v/>
      </c>
      <c r="F169" s="39" t="n"/>
      <c r="G169" s="40" t="n"/>
      <c r="H169" s="40" t="n"/>
      <c r="I169" s="40" t="n"/>
      <c r="J169" s="40" t="n"/>
      <c r="K169" s="40" t="n"/>
      <c r="L169" s="41" t="n"/>
      <c r="M169" s="42">
        <f>IF(OR($C169="",$E169="",$H169="",$K169="Cancelada"),"",IF(COUNTIFS($A$5:$A$504,$A169,$H$5:$H$504,$H169,$K$5:$K$504,"&lt;&gt;Cancelada",$C$5:$C$504,"&lt;"&amp;$E169,$E$5:$E$504,"&gt;"&amp;$C169)&gt;1,"Se solapa con otra actividad en esta sala",""))</f>
        <v/>
      </c>
    </row>
    <row r="170" ht="21" customHeight="1">
      <c r="A170" s="35" t="n"/>
      <c r="B170" s="36" t="n"/>
      <c r="C170" s="37">
        <f>IF($A170="","",IF($B170&lt;&gt;"",$B170,IF($A170=$A169,$E169,Configuración!$C$5)))</f>
        <v/>
      </c>
      <c r="D170" s="38" t="n"/>
      <c r="E170" s="37">
        <f>IF(OR($C170="",$D170=""),"",$C170+$D170/1440)</f>
        <v/>
      </c>
      <c r="F170" s="39" t="n"/>
      <c r="G170" s="40" t="n"/>
      <c r="H170" s="40" t="n"/>
      <c r="I170" s="40" t="n"/>
      <c r="J170" s="40" t="n"/>
      <c r="K170" s="40" t="n"/>
      <c r="L170" s="41" t="n"/>
      <c r="M170" s="42">
        <f>IF(OR($C170="",$E170="",$H170="",$K170="Cancelada"),"",IF(COUNTIFS($A$5:$A$504,$A170,$H$5:$H$504,$H170,$K$5:$K$504,"&lt;&gt;Cancelada",$C$5:$C$504,"&lt;"&amp;$E170,$E$5:$E$504,"&gt;"&amp;$C170)&gt;1,"Se solapa con otra actividad en esta sala",""))</f>
        <v/>
      </c>
    </row>
    <row r="171" ht="21" customHeight="1">
      <c r="A171" s="35" t="n"/>
      <c r="B171" s="36" t="n"/>
      <c r="C171" s="37">
        <f>IF($A171="","",IF($B171&lt;&gt;"",$B171,IF($A171=$A170,$E170,Configuración!$C$5)))</f>
        <v/>
      </c>
      <c r="D171" s="38" t="n"/>
      <c r="E171" s="37">
        <f>IF(OR($C171="",$D171=""),"",$C171+$D171/1440)</f>
        <v/>
      </c>
      <c r="F171" s="39" t="n"/>
      <c r="G171" s="40" t="n"/>
      <c r="H171" s="40" t="n"/>
      <c r="I171" s="40" t="n"/>
      <c r="J171" s="40" t="n"/>
      <c r="K171" s="40" t="n"/>
      <c r="L171" s="41" t="n"/>
      <c r="M171" s="42">
        <f>IF(OR($C171="",$E171="",$H171="",$K171="Cancelada"),"",IF(COUNTIFS($A$5:$A$504,$A171,$H$5:$H$504,$H171,$K$5:$K$504,"&lt;&gt;Cancelada",$C$5:$C$504,"&lt;"&amp;$E171,$E$5:$E$504,"&gt;"&amp;$C171)&gt;1,"Se solapa con otra actividad en esta sala",""))</f>
        <v/>
      </c>
    </row>
    <row r="172" ht="21" customHeight="1">
      <c r="A172" s="35" t="n"/>
      <c r="B172" s="36" t="n"/>
      <c r="C172" s="37">
        <f>IF($A172="","",IF($B172&lt;&gt;"",$B172,IF($A172=$A171,$E171,Configuración!$C$5)))</f>
        <v/>
      </c>
      <c r="D172" s="38" t="n"/>
      <c r="E172" s="37">
        <f>IF(OR($C172="",$D172=""),"",$C172+$D172/1440)</f>
        <v/>
      </c>
      <c r="F172" s="39" t="n"/>
      <c r="G172" s="40" t="n"/>
      <c r="H172" s="40" t="n"/>
      <c r="I172" s="40" t="n"/>
      <c r="J172" s="40" t="n"/>
      <c r="K172" s="40" t="n"/>
      <c r="L172" s="41" t="n"/>
      <c r="M172" s="42">
        <f>IF(OR($C172="",$E172="",$H172="",$K172="Cancelada"),"",IF(COUNTIFS($A$5:$A$504,$A172,$H$5:$H$504,$H172,$K$5:$K$504,"&lt;&gt;Cancelada",$C$5:$C$504,"&lt;"&amp;$E172,$E$5:$E$504,"&gt;"&amp;$C172)&gt;1,"Se solapa con otra actividad en esta sala",""))</f>
        <v/>
      </c>
    </row>
    <row r="173" ht="21" customHeight="1">
      <c r="A173" s="35" t="n"/>
      <c r="B173" s="36" t="n"/>
      <c r="C173" s="37">
        <f>IF($A173="","",IF($B173&lt;&gt;"",$B173,IF($A173=$A172,$E172,Configuración!$C$5)))</f>
        <v/>
      </c>
      <c r="D173" s="38" t="n"/>
      <c r="E173" s="37">
        <f>IF(OR($C173="",$D173=""),"",$C173+$D173/1440)</f>
        <v/>
      </c>
      <c r="F173" s="39" t="n"/>
      <c r="G173" s="40" t="n"/>
      <c r="H173" s="40" t="n"/>
      <c r="I173" s="40" t="n"/>
      <c r="J173" s="40" t="n"/>
      <c r="K173" s="40" t="n"/>
      <c r="L173" s="41" t="n"/>
      <c r="M173" s="42">
        <f>IF(OR($C173="",$E173="",$H173="",$K173="Cancelada"),"",IF(COUNTIFS($A$5:$A$504,$A173,$H$5:$H$504,$H173,$K$5:$K$504,"&lt;&gt;Cancelada",$C$5:$C$504,"&lt;"&amp;$E173,$E$5:$E$504,"&gt;"&amp;$C173)&gt;1,"Se solapa con otra actividad en esta sala",""))</f>
        <v/>
      </c>
    </row>
    <row r="174" ht="21" customHeight="1">
      <c r="A174" s="35" t="n"/>
      <c r="B174" s="36" t="n"/>
      <c r="C174" s="37">
        <f>IF($A174="","",IF($B174&lt;&gt;"",$B174,IF($A174=$A173,$E173,Configuración!$C$5)))</f>
        <v/>
      </c>
      <c r="D174" s="38" t="n"/>
      <c r="E174" s="37">
        <f>IF(OR($C174="",$D174=""),"",$C174+$D174/1440)</f>
        <v/>
      </c>
      <c r="F174" s="39" t="n"/>
      <c r="G174" s="40" t="n"/>
      <c r="H174" s="40" t="n"/>
      <c r="I174" s="40" t="n"/>
      <c r="J174" s="40" t="n"/>
      <c r="K174" s="40" t="n"/>
      <c r="L174" s="41" t="n"/>
      <c r="M174" s="42">
        <f>IF(OR($C174="",$E174="",$H174="",$K174="Cancelada"),"",IF(COUNTIFS($A$5:$A$504,$A174,$H$5:$H$504,$H174,$K$5:$K$504,"&lt;&gt;Cancelada",$C$5:$C$504,"&lt;"&amp;$E174,$E$5:$E$504,"&gt;"&amp;$C174)&gt;1,"Se solapa con otra actividad en esta sala",""))</f>
        <v/>
      </c>
    </row>
    <row r="175" ht="21" customHeight="1">
      <c r="A175" s="35" t="n"/>
      <c r="B175" s="36" t="n"/>
      <c r="C175" s="37">
        <f>IF($A175="","",IF($B175&lt;&gt;"",$B175,IF($A175=$A174,$E174,Configuración!$C$5)))</f>
        <v/>
      </c>
      <c r="D175" s="38" t="n"/>
      <c r="E175" s="37">
        <f>IF(OR($C175="",$D175=""),"",$C175+$D175/1440)</f>
        <v/>
      </c>
      <c r="F175" s="39" t="n"/>
      <c r="G175" s="40" t="n"/>
      <c r="H175" s="40" t="n"/>
      <c r="I175" s="40" t="n"/>
      <c r="J175" s="40" t="n"/>
      <c r="K175" s="40" t="n"/>
      <c r="L175" s="41" t="n"/>
      <c r="M175" s="42">
        <f>IF(OR($C175="",$E175="",$H175="",$K175="Cancelada"),"",IF(COUNTIFS($A$5:$A$504,$A175,$H$5:$H$504,$H175,$K$5:$K$504,"&lt;&gt;Cancelada",$C$5:$C$504,"&lt;"&amp;$E175,$E$5:$E$504,"&gt;"&amp;$C175)&gt;1,"Se solapa con otra actividad en esta sala",""))</f>
        <v/>
      </c>
    </row>
    <row r="176" ht="21" customHeight="1">
      <c r="A176" s="35" t="n"/>
      <c r="B176" s="36" t="n"/>
      <c r="C176" s="37">
        <f>IF($A176="","",IF($B176&lt;&gt;"",$B176,IF($A176=$A175,$E175,Configuración!$C$5)))</f>
        <v/>
      </c>
      <c r="D176" s="38" t="n"/>
      <c r="E176" s="37">
        <f>IF(OR($C176="",$D176=""),"",$C176+$D176/1440)</f>
        <v/>
      </c>
      <c r="F176" s="39" t="n"/>
      <c r="G176" s="40" t="n"/>
      <c r="H176" s="40" t="n"/>
      <c r="I176" s="40" t="n"/>
      <c r="J176" s="40" t="n"/>
      <c r="K176" s="40" t="n"/>
      <c r="L176" s="41" t="n"/>
      <c r="M176" s="42">
        <f>IF(OR($C176="",$E176="",$H176="",$K176="Cancelada"),"",IF(COUNTIFS($A$5:$A$504,$A176,$H$5:$H$504,$H176,$K$5:$K$504,"&lt;&gt;Cancelada",$C$5:$C$504,"&lt;"&amp;$E176,$E$5:$E$504,"&gt;"&amp;$C176)&gt;1,"Se solapa con otra actividad en esta sala",""))</f>
        <v/>
      </c>
    </row>
    <row r="177" ht="21" customHeight="1">
      <c r="A177" s="35" t="n"/>
      <c r="B177" s="36" t="n"/>
      <c r="C177" s="37">
        <f>IF($A177="","",IF($B177&lt;&gt;"",$B177,IF($A177=$A176,$E176,Configuración!$C$5)))</f>
        <v/>
      </c>
      <c r="D177" s="38" t="n"/>
      <c r="E177" s="37">
        <f>IF(OR($C177="",$D177=""),"",$C177+$D177/1440)</f>
        <v/>
      </c>
      <c r="F177" s="39" t="n"/>
      <c r="G177" s="40" t="n"/>
      <c r="H177" s="40" t="n"/>
      <c r="I177" s="40" t="n"/>
      <c r="J177" s="40" t="n"/>
      <c r="K177" s="40" t="n"/>
      <c r="L177" s="41" t="n"/>
      <c r="M177" s="42">
        <f>IF(OR($C177="",$E177="",$H177="",$K177="Cancelada"),"",IF(COUNTIFS($A$5:$A$504,$A177,$H$5:$H$504,$H177,$K$5:$K$504,"&lt;&gt;Cancelada",$C$5:$C$504,"&lt;"&amp;$E177,$E$5:$E$504,"&gt;"&amp;$C177)&gt;1,"Se solapa con otra actividad en esta sala",""))</f>
        <v/>
      </c>
    </row>
    <row r="178" ht="21" customHeight="1">
      <c r="A178" s="35" t="n"/>
      <c r="B178" s="36" t="n"/>
      <c r="C178" s="37">
        <f>IF($A178="","",IF($B178&lt;&gt;"",$B178,IF($A178=$A177,$E177,Configuración!$C$5)))</f>
        <v/>
      </c>
      <c r="D178" s="38" t="n"/>
      <c r="E178" s="37">
        <f>IF(OR($C178="",$D178=""),"",$C178+$D178/1440)</f>
        <v/>
      </c>
      <c r="F178" s="39" t="n"/>
      <c r="G178" s="40" t="n"/>
      <c r="H178" s="40" t="n"/>
      <c r="I178" s="40" t="n"/>
      <c r="J178" s="40" t="n"/>
      <c r="K178" s="40" t="n"/>
      <c r="L178" s="41" t="n"/>
      <c r="M178" s="42">
        <f>IF(OR($C178="",$E178="",$H178="",$K178="Cancelada"),"",IF(COUNTIFS($A$5:$A$504,$A178,$H$5:$H$504,$H178,$K$5:$K$504,"&lt;&gt;Cancelada",$C$5:$C$504,"&lt;"&amp;$E178,$E$5:$E$504,"&gt;"&amp;$C178)&gt;1,"Se solapa con otra actividad en esta sala",""))</f>
        <v/>
      </c>
    </row>
    <row r="179" ht="21" customHeight="1">
      <c r="A179" s="35" t="n"/>
      <c r="B179" s="36" t="n"/>
      <c r="C179" s="37">
        <f>IF($A179="","",IF($B179&lt;&gt;"",$B179,IF($A179=$A178,$E178,Configuración!$C$5)))</f>
        <v/>
      </c>
      <c r="D179" s="38" t="n"/>
      <c r="E179" s="37">
        <f>IF(OR($C179="",$D179=""),"",$C179+$D179/1440)</f>
        <v/>
      </c>
      <c r="F179" s="39" t="n"/>
      <c r="G179" s="40" t="n"/>
      <c r="H179" s="40" t="n"/>
      <c r="I179" s="40" t="n"/>
      <c r="J179" s="40" t="n"/>
      <c r="K179" s="40" t="n"/>
      <c r="L179" s="41" t="n"/>
      <c r="M179" s="42">
        <f>IF(OR($C179="",$E179="",$H179="",$K179="Cancelada"),"",IF(COUNTIFS($A$5:$A$504,$A179,$H$5:$H$504,$H179,$K$5:$K$504,"&lt;&gt;Cancelada",$C$5:$C$504,"&lt;"&amp;$E179,$E$5:$E$504,"&gt;"&amp;$C179)&gt;1,"Se solapa con otra actividad en esta sala",""))</f>
        <v/>
      </c>
    </row>
    <row r="180" ht="21" customHeight="1">
      <c r="A180" s="35" t="n"/>
      <c r="B180" s="36" t="n"/>
      <c r="C180" s="37">
        <f>IF($A180="","",IF($B180&lt;&gt;"",$B180,IF($A180=$A179,$E179,Configuración!$C$5)))</f>
        <v/>
      </c>
      <c r="D180" s="38" t="n"/>
      <c r="E180" s="37">
        <f>IF(OR($C180="",$D180=""),"",$C180+$D180/1440)</f>
        <v/>
      </c>
      <c r="F180" s="39" t="n"/>
      <c r="G180" s="40" t="n"/>
      <c r="H180" s="40" t="n"/>
      <c r="I180" s="40" t="n"/>
      <c r="J180" s="40" t="n"/>
      <c r="K180" s="40" t="n"/>
      <c r="L180" s="41" t="n"/>
      <c r="M180" s="42">
        <f>IF(OR($C180="",$E180="",$H180="",$K180="Cancelada"),"",IF(COUNTIFS($A$5:$A$504,$A180,$H$5:$H$504,$H180,$K$5:$K$504,"&lt;&gt;Cancelada",$C$5:$C$504,"&lt;"&amp;$E180,$E$5:$E$504,"&gt;"&amp;$C180)&gt;1,"Se solapa con otra actividad en esta sala",""))</f>
        <v/>
      </c>
    </row>
    <row r="181" ht="21" customHeight="1">
      <c r="A181" s="35" t="n"/>
      <c r="B181" s="36" t="n"/>
      <c r="C181" s="37">
        <f>IF($A181="","",IF($B181&lt;&gt;"",$B181,IF($A181=$A180,$E180,Configuración!$C$5)))</f>
        <v/>
      </c>
      <c r="D181" s="38" t="n"/>
      <c r="E181" s="37">
        <f>IF(OR($C181="",$D181=""),"",$C181+$D181/1440)</f>
        <v/>
      </c>
      <c r="F181" s="39" t="n"/>
      <c r="G181" s="40" t="n"/>
      <c r="H181" s="40" t="n"/>
      <c r="I181" s="40" t="n"/>
      <c r="J181" s="40" t="n"/>
      <c r="K181" s="40" t="n"/>
      <c r="L181" s="41" t="n"/>
      <c r="M181" s="42">
        <f>IF(OR($C181="",$E181="",$H181="",$K181="Cancelada"),"",IF(COUNTIFS($A$5:$A$504,$A181,$H$5:$H$504,$H181,$K$5:$K$504,"&lt;&gt;Cancelada",$C$5:$C$504,"&lt;"&amp;$E181,$E$5:$E$504,"&gt;"&amp;$C181)&gt;1,"Se solapa con otra actividad en esta sala",""))</f>
        <v/>
      </c>
    </row>
    <row r="182" ht="21" customHeight="1">
      <c r="A182" s="35" t="n"/>
      <c r="B182" s="36" t="n"/>
      <c r="C182" s="37">
        <f>IF($A182="","",IF($B182&lt;&gt;"",$B182,IF($A182=$A181,$E181,Configuración!$C$5)))</f>
        <v/>
      </c>
      <c r="D182" s="38" t="n"/>
      <c r="E182" s="37">
        <f>IF(OR($C182="",$D182=""),"",$C182+$D182/1440)</f>
        <v/>
      </c>
      <c r="F182" s="39" t="n"/>
      <c r="G182" s="40" t="n"/>
      <c r="H182" s="40" t="n"/>
      <c r="I182" s="40" t="n"/>
      <c r="J182" s="40" t="n"/>
      <c r="K182" s="40" t="n"/>
      <c r="L182" s="41" t="n"/>
      <c r="M182" s="42">
        <f>IF(OR($C182="",$E182="",$H182="",$K182="Cancelada"),"",IF(COUNTIFS($A$5:$A$504,$A182,$H$5:$H$504,$H182,$K$5:$K$504,"&lt;&gt;Cancelada",$C$5:$C$504,"&lt;"&amp;$E182,$E$5:$E$504,"&gt;"&amp;$C182)&gt;1,"Se solapa con otra actividad en esta sala",""))</f>
        <v/>
      </c>
    </row>
    <row r="183" ht="21" customHeight="1">
      <c r="A183" s="35" t="n"/>
      <c r="B183" s="36" t="n"/>
      <c r="C183" s="37">
        <f>IF($A183="","",IF($B183&lt;&gt;"",$B183,IF($A183=$A182,$E182,Configuración!$C$5)))</f>
        <v/>
      </c>
      <c r="D183" s="38" t="n"/>
      <c r="E183" s="37">
        <f>IF(OR($C183="",$D183=""),"",$C183+$D183/1440)</f>
        <v/>
      </c>
      <c r="F183" s="39" t="n"/>
      <c r="G183" s="40" t="n"/>
      <c r="H183" s="40" t="n"/>
      <c r="I183" s="40" t="n"/>
      <c r="J183" s="40" t="n"/>
      <c r="K183" s="40" t="n"/>
      <c r="L183" s="41" t="n"/>
      <c r="M183" s="42">
        <f>IF(OR($C183="",$E183="",$H183="",$K183="Cancelada"),"",IF(COUNTIFS($A$5:$A$504,$A183,$H$5:$H$504,$H183,$K$5:$K$504,"&lt;&gt;Cancelada",$C$5:$C$504,"&lt;"&amp;$E183,$E$5:$E$504,"&gt;"&amp;$C183)&gt;1,"Se solapa con otra actividad en esta sala",""))</f>
        <v/>
      </c>
    </row>
    <row r="184" ht="21" customHeight="1">
      <c r="A184" s="35" t="n"/>
      <c r="B184" s="36" t="n"/>
      <c r="C184" s="37">
        <f>IF($A184="","",IF($B184&lt;&gt;"",$B184,IF($A184=$A183,$E183,Configuración!$C$5)))</f>
        <v/>
      </c>
      <c r="D184" s="38" t="n"/>
      <c r="E184" s="37">
        <f>IF(OR($C184="",$D184=""),"",$C184+$D184/1440)</f>
        <v/>
      </c>
      <c r="F184" s="39" t="n"/>
      <c r="G184" s="40" t="n"/>
      <c r="H184" s="40" t="n"/>
      <c r="I184" s="40" t="n"/>
      <c r="J184" s="40" t="n"/>
      <c r="K184" s="40" t="n"/>
      <c r="L184" s="41" t="n"/>
      <c r="M184" s="42">
        <f>IF(OR($C184="",$E184="",$H184="",$K184="Cancelada"),"",IF(COUNTIFS($A$5:$A$504,$A184,$H$5:$H$504,$H184,$K$5:$K$504,"&lt;&gt;Cancelada",$C$5:$C$504,"&lt;"&amp;$E184,$E$5:$E$504,"&gt;"&amp;$C184)&gt;1,"Se solapa con otra actividad en esta sala",""))</f>
        <v/>
      </c>
    </row>
    <row r="185" ht="21" customHeight="1">
      <c r="A185" s="35" t="n"/>
      <c r="B185" s="36" t="n"/>
      <c r="C185" s="37">
        <f>IF($A185="","",IF($B185&lt;&gt;"",$B185,IF($A185=$A184,$E184,Configuración!$C$5)))</f>
        <v/>
      </c>
      <c r="D185" s="38" t="n"/>
      <c r="E185" s="37">
        <f>IF(OR($C185="",$D185=""),"",$C185+$D185/1440)</f>
        <v/>
      </c>
      <c r="F185" s="39" t="n"/>
      <c r="G185" s="40" t="n"/>
      <c r="H185" s="40" t="n"/>
      <c r="I185" s="40" t="n"/>
      <c r="J185" s="40" t="n"/>
      <c r="K185" s="40" t="n"/>
      <c r="L185" s="41" t="n"/>
      <c r="M185" s="42">
        <f>IF(OR($C185="",$E185="",$H185="",$K185="Cancelada"),"",IF(COUNTIFS($A$5:$A$504,$A185,$H$5:$H$504,$H185,$K$5:$K$504,"&lt;&gt;Cancelada",$C$5:$C$504,"&lt;"&amp;$E185,$E$5:$E$504,"&gt;"&amp;$C185)&gt;1,"Se solapa con otra actividad en esta sala",""))</f>
        <v/>
      </c>
    </row>
    <row r="186" ht="21" customHeight="1">
      <c r="A186" s="35" t="n"/>
      <c r="B186" s="36" t="n"/>
      <c r="C186" s="37">
        <f>IF($A186="","",IF($B186&lt;&gt;"",$B186,IF($A186=$A185,$E185,Configuración!$C$5)))</f>
        <v/>
      </c>
      <c r="D186" s="38" t="n"/>
      <c r="E186" s="37">
        <f>IF(OR($C186="",$D186=""),"",$C186+$D186/1440)</f>
        <v/>
      </c>
      <c r="F186" s="39" t="n"/>
      <c r="G186" s="40" t="n"/>
      <c r="H186" s="40" t="n"/>
      <c r="I186" s="40" t="n"/>
      <c r="J186" s="40" t="n"/>
      <c r="K186" s="40" t="n"/>
      <c r="L186" s="41" t="n"/>
      <c r="M186" s="42">
        <f>IF(OR($C186="",$E186="",$H186="",$K186="Cancelada"),"",IF(COUNTIFS($A$5:$A$504,$A186,$H$5:$H$504,$H186,$K$5:$K$504,"&lt;&gt;Cancelada",$C$5:$C$504,"&lt;"&amp;$E186,$E$5:$E$504,"&gt;"&amp;$C186)&gt;1,"Se solapa con otra actividad en esta sala",""))</f>
        <v/>
      </c>
    </row>
    <row r="187" ht="21" customHeight="1">
      <c r="A187" s="35" t="n"/>
      <c r="B187" s="36" t="n"/>
      <c r="C187" s="37">
        <f>IF($A187="","",IF($B187&lt;&gt;"",$B187,IF($A187=$A186,$E186,Configuración!$C$5)))</f>
        <v/>
      </c>
      <c r="D187" s="38" t="n"/>
      <c r="E187" s="37">
        <f>IF(OR($C187="",$D187=""),"",$C187+$D187/1440)</f>
        <v/>
      </c>
      <c r="F187" s="39" t="n"/>
      <c r="G187" s="40" t="n"/>
      <c r="H187" s="40" t="n"/>
      <c r="I187" s="40" t="n"/>
      <c r="J187" s="40" t="n"/>
      <c r="K187" s="40" t="n"/>
      <c r="L187" s="41" t="n"/>
      <c r="M187" s="42">
        <f>IF(OR($C187="",$E187="",$H187="",$K187="Cancelada"),"",IF(COUNTIFS($A$5:$A$504,$A187,$H$5:$H$504,$H187,$K$5:$K$504,"&lt;&gt;Cancelada",$C$5:$C$504,"&lt;"&amp;$E187,$E$5:$E$504,"&gt;"&amp;$C187)&gt;1,"Se solapa con otra actividad en esta sala",""))</f>
        <v/>
      </c>
    </row>
    <row r="188" ht="21" customHeight="1">
      <c r="A188" s="35" t="n"/>
      <c r="B188" s="36" t="n"/>
      <c r="C188" s="37">
        <f>IF($A188="","",IF($B188&lt;&gt;"",$B188,IF($A188=$A187,$E187,Configuración!$C$5)))</f>
        <v/>
      </c>
      <c r="D188" s="38" t="n"/>
      <c r="E188" s="37">
        <f>IF(OR($C188="",$D188=""),"",$C188+$D188/1440)</f>
        <v/>
      </c>
      <c r="F188" s="39" t="n"/>
      <c r="G188" s="40" t="n"/>
      <c r="H188" s="40" t="n"/>
      <c r="I188" s="40" t="n"/>
      <c r="J188" s="40" t="n"/>
      <c r="K188" s="40" t="n"/>
      <c r="L188" s="41" t="n"/>
      <c r="M188" s="42">
        <f>IF(OR($C188="",$E188="",$H188="",$K188="Cancelada"),"",IF(COUNTIFS($A$5:$A$504,$A188,$H$5:$H$504,$H188,$K$5:$K$504,"&lt;&gt;Cancelada",$C$5:$C$504,"&lt;"&amp;$E188,$E$5:$E$504,"&gt;"&amp;$C188)&gt;1,"Se solapa con otra actividad en esta sala",""))</f>
        <v/>
      </c>
    </row>
    <row r="189" ht="21" customHeight="1">
      <c r="A189" s="35" t="n"/>
      <c r="B189" s="36" t="n"/>
      <c r="C189" s="37">
        <f>IF($A189="","",IF($B189&lt;&gt;"",$B189,IF($A189=$A188,$E188,Configuración!$C$5)))</f>
        <v/>
      </c>
      <c r="D189" s="38" t="n"/>
      <c r="E189" s="37">
        <f>IF(OR($C189="",$D189=""),"",$C189+$D189/1440)</f>
        <v/>
      </c>
      <c r="F189" s="39" t="n"/>
      <c r="G189" s="40" t="n"/>
      <c r="H189" s="40" t="n"/>
      <c r="I189" s="40" t="n"/>
      <c r="J189" s="40" t="n"/>
      <c r="K189" s="40" t="n"/>
      <c r="L189" s="41" t="n"/>
      <c r="M189" s="42">
        <f>IF(OR($C189="",$E189="",$H189="",$K189="Cancelada"),"",IF(COUNTIFS($A$5:$A$504,$A189,$H$5:$H$504,$H189,$K$5:$K$504,"&lt;&gt;Cancelada",$C$5:$C$504,"&lt;"&amp;$E189,$E$5:$E$504,"&gt;"&amp;$C189)&gt;1,"Se solapa con otra actividad en esta sala",""))</f>
        <v/>
      </c>
    </row>
    <row r="190" ht="21" customHeight="1">
      <c r="A190" s="35" t="n"/>
      <c r="B190" s="36" t="n"/>
      <c r="C190" s="37">
        <f>IF($A190="","",IF($B190&lt;&gt;"",$B190,IF($A190=$A189,$E189,Configuración!$C$5)))</f>
        <v/>
      </c>
      <c r="D190" s="38" t="n"/>
      <c r="E190" s="37">
        <f>IF(OR($C190="",$D190=""),"",$C190+$D190/1440)</f>
        <v/>
      </c>
      <c r="F190" s="39" t="n"/>
      <c r="G190" s="40" t="n"/>
      <c r="H190" s="40" t="n"/>
      <c r="I190" s="40" t="n"/>
      <c r="J190" s="40" t="n"/>
      <c r="K190" s="40" t="n"/>
      <c r="L190" s="41" t="n"/>
      <c r="M190" s="42">
        <f>IF(OR($C190="",$E190="",$H190="",$K190="Cancelada"),"",IF(COUNTIFS($A$5:$A$504,$A190,$H$5:$H$504,$H190,$K$5:$K$504,"&lt;&gt;Cancelada",$C$5:$C$504,"&lt;"&amp;$E190,$E$5:$E$504,"&gt;"&amp;$C190)&gt;1,"Se solapa con otra actividad en esta sala",""))</f>
        <v/>
      </c>
    </row>
    <row r="191" ht="21" customHeight="1">
      <c r="A191" s="35" t="n"/>
      <c r="B191" s="36" t="n"/>
      <c r="C191" s="37">
        <f>IF($A191="","",IF($B191&lt;&gt;"",$B191,IF($A191=$A190,$E190,Configuración!$C$5)))</f>
        <v/>
      </c>
      <c r="D191" s="38" t="n"/>
      <c r="E191" s="37">
        <f>IF(OR($C191="",$D191=""),"",$C191+$D191/1440)</f>
        <v/>
      </c>
      <c r="F191" s="39" t="n"/>
      <c r="G191" s="40" t="n"/>
      <c r="H191" s="40" t="n"/>
      <c r="I191" s="40" t="n"/>
      <c r="J191" s="40" t="n"/>
      <c r="K191" s="40" t="n"/>
      <c r="L191" s="41" t="n"/>
      <c r="M191" s="42">
        <f>IF(OR($C191="",$E191="",$H191="",$K191="Cancelada"),"",IF(COUNTIFS($A$5:$A$504,$A191,$H$5:$H$504,$H191,$K$5:$K$504,"&lt;&gt;Cancelada",$C$5:$C$504,"&lt;"&amp;$E191,$E$5:$E$504,"&gt;"&amp;$C191)&gt;1,"Se solapa con otra actividad en esta sala",""))</f>
        <v/>
      </c>
    </row>
    <row r="192" ht="21" customHeight="1">
      <c r="A192" s="35" t="n"/>
      <c r="B192" s="36" t="n"/>
      <c r="C192" s="37">
        <f>IF($A192="","",IF($B192&lt;&gt;"",$B192,IF($A192=$A191,$E191,Configuración!$C$5)))</f>
        <v/>
      </c>
      <c r="D192" s="38" t="n"/>
      <c r="E192" s="37">
        <f>IF(OR($C192="",$D192=""),"",$C192+$D192/1440)</f>
        <v/>
      </c>
      <c r="F192" s="39" t="n"/>
      <c r="G192" s="40" t="n"/>
      <c r="H192" s="40" t="n"/>
      <c r="I192" s="40" t="n"/>
      <c r="J192" s="40" t="n"/>
      <c r="K192" s="40" t="n"/>
      <c r="L192" s="41" t="n"/>
      <c r="M192" s="42">
        <f>IF(OR($C192="",$E192="",$H192="",$K192="Cancelada"),"",IF(COUNTIFS($A$5:$A$504,$A192,$H$5:$H$504,$H192,$K$5:$K$504,"&lt;&gt;Cancelada",$C$5:$C$504,"&lt;"&amp;$E192,$E$5:$E$504,"&gt;"&amp;$C192)&gt;1,"Se solapa con otra actividad en esta sala",""))</f>
        <v/>
      </c>
    </row>
    <row r="193" ht="21" customHeight="1">
      <c r="A193" s="35" t="n"/>
      <c r="B193" s="36" t="n"/>
      <c r="C193" s="37">
        <f>IF($A193="","",IF($B193&lt;&gt;"",$B193,IF($A193=$A192,$E192,Configuración!$C$5)))</f>
        <v/>
      </c>
      <c r="D193" s="38" t="n"/>
      <c r="E193" s="37">
        <f>IF(OR($C193="",$D193=""),"",$C193+$D193/1440)</f>
        <v/>
      </c>
      <c r="F193" s="39" t="n"/>
      <c r="G193" s="40" t="n"/>
      <c r="H193" s="40" t="n"/>
      <c r="I193" s="40" t="n"/>
      <c r="J193" s="40" t="n"/>
      <c r="K193" s="40" t="n"/>
      <c r="L193" s="41" t="n"/>
      <c r="M193" s="42">
        <f>IF(OR($C193="",$E193="",$H193="",$K193="Cancelada"),"",IF(COUNTIFS($A$5:$A$504,$A193,$H$5:$H$504,$H193,$K$5:$K$504,"&lt;&gt;Cancelada",$C$5:$C$504,"&lt;"&amp;$E193,$E$5:$E$504,"&gt;"&amp;$C193)&gt;1,"Se solapa con otra actividad en esta sala",""))</f>
        <v/>
      </c>
    </row>
    <row r="194" ht="21" customHeight="1">
      <c r="A194" s="35" t="n"/>
      <c r="B194" s="36" t="n"/>
      <c r="C194" s="37">
        <f>IF($A194="","",IF($B194&lt;&gt;"",$B194,IF($A194=$A193,$E193,Configuración!$C$5)))</f>
        <v/>
      </c>
      <c r="D194" s="38" t="n"/>
      <c r="E194" s="37">
        <f>IF(OR($C194="",$D194=""),"",$C194+$D194/1440)</f>
        <v/>
      </c>
      <c r="F194" s="39" t="n"/>
      <c r="G194" s="40" t="n"/>
      <c r="H194" s="40" t="n"/>
      <c r="I194" s="40" t="n"/>
      <c r="J194" s="40" t="n"/>
      <c r="K194" s="40" t="n"/>
      <c r="L194" s="41" t="n"/>
      <c r="M194" s="42">
        <f>IF(OR($C194="",$E194="",$H194="",$K194="Cancelada"),"",IF(COUNTIFS($A$5:$A$504,$A194,$H$5:$H$504,$H194,$K$5:$K$504,"&lt;&gt;Cancelada",$C$5:$C$504,"&lt;"&amp;$E194,$E$5:$E$504,"&gt;"&amp;$C194)&gt;1,"Se solapa con otra actividad en esta sala",""))</f>
        <v/>
      </c>
    </row>
    <row r="195" ht="21" customHeight="1">
      <c r="A195" s="35" t="n"/>
      <c r="B195" s="36" t="n"/>
      <c r="C195" s="37">
        <f>IF($A195="","",IF($B195&lt;&gt;"",$B195,IF($A195=$A194,$E194,Configuración!$C$5)))</f>
        <v/>
      </c>
      <c r="D195" s="38" t="n"/>
      <c r="E195" s="37">
        <f>IF(OR($C195="",$D195=""),"",$C195+$D195/1440)</f>
        <v/>
      </c>
      <c r="F195" s="39" t="n"/>
      <c r="G195" s="40" t="n"/>
      <c r="H195" s="40" t="n"/>
      <c r="I195" s="40" t="n"/>
      <c r="J195" s="40" t="n"/>
      <c r="K195" s="40" t="n"/>
      <c r="L195" s="41" t="n"/>
      <c r="M195" s="42">
        <f>IF(OR($C195="",$E195="",$H195="",$K195="Cancelada"),"",IF(COUNTIFS($A$5:$A$504,$A195,$H$5:$H$504,$H195,$K$5:$K$504,"&lt;&gt;Cancelada",$C$5:$C$504,"&lt;"&amp;$E195,$E$5:$E$504,"&gt;"&amp;$C195)&gt;1,"Se solapa con otra actividad en esta sala",""))</f>
        <v/>
      </c>
    </row>
    <row r="196" ht="21" customHeight="1">
      <c r="A196" s="35" t="n"/>
      <c r="B196" s="36" t="n"/>
      <c r="C196" s="37">
        <f>IF($A196="","",IF($B196&lt;&gt;"",$B196,IF($A196=$A195,$E195,Configuración!$C$5)))</f>
        <v/>
      </c>
      <c r="D196" s="38" t="n"/>
      <c r="E196" s="37">
        <f>IF(OR($C196="",$D196=""),"",$C196+$D196/1440)</f>
        <v/>
      </c>
      <c r="F196" s="39" t="n"/>
      <c r="G196" s="40" t="n"/>
      <c r="H196" s="40" t="n"/>
      <c r="I196" s="40" t="n"/>
      <c r="J196" s="40" t="n"/>
      <c r="K196" s="40" t="n"/>
      <c r="L196" s="41" t="n"/>
      <c r="M196" s="42">
        <f>IF(OR($C196="",$E196="",$H196="",$K196="Cancelada"),"",IF(COUNTIFS($A$5:$A$504,$A196,$H$5:$H$504,$H196,$K$5:$K$504,"&lt;&gt;Cancelada",$C$5:$C$504,"&lt;"&amp;$E196,$E$5:$E$504,"&gt;"&amp;$C196)&gt;1,"Se solapa con otra actividad en esta sala",""))</f>
        <v/>
      </c>
    </row>
    <row r="197" ht="21" customHeight="1">
      <c r="A197" s="35" t="n"/>
      <c r="B197" s="36" t="n"/>
      <c r="C197" s="37">
        <f>IF($A197="","",IF($B197&lt;&gt;"",$B197,IF($A197=$A196,$E196,Configuración!$C$5)))</f>
        <v/>
      </c>
      <c r="D197" s="38" t="n"/>
      <c r="E197" s="37">
        <f>IF(OR($C197="",$D197=""),"",$C197+$D197/1440)</f>
        <v/>
      </c>
      <c r="F197" s="39" t="n"/>
      <c r="G197" s="40" t="n"/>
      <c r="H197" s="40" t="n"/>
      <c r="I197" s="40" t="n"/>
      <c r="J197" s="40" t="n"/>
      <c r="K197" s="40" t="n"/>
      <c r="L197" s="41" t="n"/>
      <c r="M197" s="42">
        <f>IF(OR($C197="",$E197="",$H197="",$K197="Cancelada"),"",IF(COUNTIFS($A$5:$A$504,$A197,$H$5:$H$504,$H197,$K$5:$K$504,"&lt;&gt;Cancelada",$C$5:$C$504,"&lt;"&amp;$E197,$E$5:$E$504,"&gt;"&amp;$C197)&gt;1,"Se solapa con otra actividad en esta sala",""))</f>
        <v/>
      </c>
    </row>
    <row r="198" ht="21" customHeight="1">
      <c r="A198" s="35" t="n"/>
      <c r="B198" s="36" t="n"/>
      <c r="C198" s="37">
        <f>IF($A198="","",IF($B198&lt;&gt;"",$B198,IF($A198=$A197,$E197,Configuración!$C$5)))</f>
        <v/>
      </c>
      <c r="D198" s="38" t="n"/>
      <c r="E198" s="37">
        <f>IF(OR($C198="",$D198=""),"",$C198+$D198/1440)</f>
        <v/>
      </c>
      <c r="F198" s="39" t="n"/>
      <c r="G198" s="40" t="n"/>
      <c r="H198" s="40" t="n"/>
      <c r="I198" s="40" t="n"/>
      <c r="J198" s="40" t="n"/>
      <c r="K198" s="40" t="n"/>
      <c r="L198" s="41" t="n"/>
      <c r="M198" s="42">
        <f>IF(OR($C198="",$E198="",$H198="",$K198="Cancelada"),"",IF(COUNTIFS($A$5:$A$504,$A198,$H$5:$H$504,$H198,$K$5:$K$504,"&lt;&gt;Cancelada",$C$5:$C$504,"&lt;"&amp;$E198,$E$5:$E$504,"&gt;"&amp;$C198)&gt;1,"Se solapa con otra actividad en esta sala",""))</f>
        <v/>
      </c>
    </row>
    <row r="199" ht="21" customHeight="1">
      <c r="A199" s="35" t="n"/>
      <c r="B199" s="36" t="n"/>
      <c r="C199" s="37">
        <f>IF($A199="","",IF($B199&lt;&gt;"",$B199,IF($A199=$A198,$E198,Configuración!$C$5)))</f>
        <v/>
      </c>
      <c r="D199" s="38" t="n"/>
      <c r="E199" s="37">
        <f>IF(OR($C199="",$D199=""),"",$C199+$D199/1440)</f>
        <v/>
      </c>
      <c r="F199" s="39" t="n"/>
      <c r="G199" s="40" t="n"/>
      <c r="H199" s="40" t="n"/>
      <c r="I199" s="40" t="n"/>
      <c r="J199" s="40" t="n"/>
      <c r="K199" s="40" t="n"/>
      <c r="L199" s="41" t="n"/>
      <c r="M199" s="42">
        <f>IF(OR($C199="",$E199="",$H199="",$K199="Cancelada"),"",IF(COUNTIFS($A$5:$A$504,$A199,$H$5:$H$504,$H199,$K$5:$K$504,"&lt;&gt;Cancelada",$C$5:$C$504,"&lt;"&amp;$E199,$E$5:$E$504,"&gt;"&amp;$C199)&gt;1,"Se solapa con otra actividad en esta sala",""))</f>
        <v/>
      </c>
    </row>
    <row r="200" ht="21" customHeight="1">
      <c r="A200" s="35" t="n"/>
      <c r="B200" s="36" t="n"/>
      <c r="C200" s="37">
        <f>IF($A200="","",IF($B200&lt;&gt;"",$B200,IF($A200=$A199,$E199,Configuración!$C$5)))</f>
        <v/>
      </c>
      <c r="D200" s="38" t="n"/>
      <c r="E200" s="37">
        <f>IF(OR($C200="",$D200=""),"",$C200+$D200/1440)</f>
        <v/>
      </c>
      <c r="F200" s="39" t="n"/>
      <c r="G200" s="40" t="n"/>
      <c r="H200" s="40" t="n"/>
      <c r="I200" s="40" t="n"/>
      <c r="J200" s="40" t="n"/>
      <c r="K200" s="40" t="n"/>
      <c r="L200" s="41" t="n"/>
      <c r="M200" s="42">
        <f>IF(OR($C200="",$E200="",$H200="",$K200="Cancelada"),"",IF(COUNTIFS($A$5:$A$504,$A200,$H$5:$H$504,$H200,$K$5:$K$504,"&lt;&gt;Cancelada",$C$5:$C$504,"&lt;"&amp;$E200,$E$5:$E$504,"&gt;"&amp;$C200)&gt;1,"Se solapa con otra actividad en esta sala",""))</f>
        <v/>
      </c>
    </row>
    <row r="201" ht="21" customHeight="1">
      <c r="A201" s="35" t="n"/>
      <c r="B201" s="36" t="n"/>
      <c r="C201" s="37">
        <f>IF($A201="","",IF($B201&lt;&gt;"",$B201,IF($A201=$A200,$E200,Configuración!$C$5)))</f>
        <v/>
      </c>
      <c r="D201" s="38" t="n"/>
      <c r="E201" s="37">
        <f>IF(OR($C201="",$D201=""),"",$C201+$D201/1440)</f>
        <v/>
      </c>
      <c r="F201" s="39" t="n"/>
      <c r="G201" s="40" t="n"/>
      <c r="H201" s="40" t="n"/>
      <c r="I201" s="40" t="n"/>
      <c r="J201" s="40" t="n"/>
      <c r="K201" s="40" t="n"/>
      <c r="L201" s="41" t="n"/>
      <c r="M201" s="42">
        <f>IF(OR($C201="",$E201="",$H201="",$K201="Cancelada"),"",IF(COUNTIFS($A$5:$A$504,$A201,$H$5:$H$504,$H201,$K$5:$K$504,"&lt;&gt;Cancelada",$C$5:$C$504,"&lt;"&amp;$E201,$E$5:$E$504,"&gt;"&amp;$C201)&gt;1,"Se solapa con otra actividad en esta sala",""))</f>
        <v/>
      </c>
    </row>
    <row r="202" ht="21" customHeight="1">
      <c r="A202" s="35" t="n"/>
      <c r="B202" s="36" t="n"/>
      <c r="C202" s="37">
        <f>IF($A202="","",IF($B202&lt;&gt;"",$B202,IF($A202=$A201,$E201,Configuración!$C$5)))</f>
        <v/>
      </c>
      <c r="D202" s="38" t="n"/>
      <c r="E202" s="37">
        <f>IF(OR($C202="",$D202=""),"",$C202+$D202/1440)</f>
        <v/>
      </c>
      <c r="F202" s="39" t="n"/>
      <c r="G202" s="40" t="n"/>
      <c r="H202" s="40" t="n"/>
      <c r="I202" s="40" t="n"/>
      <c r="J202" s="40" t="n"/>
      <c r="K202" s="40" t="n"/>
      <c r="L202" s="41" t="n"/>
      <c r="M202" s="42">
        <f>IF(OR($C202="",$E202="",$H202="",$K202="Cancelada"),"",IF(COUNTIFS($A$5:$A$504,$A202,$H$5:$H$504,$H202,$K$5:$K$504,"&lt;&gt;Cancelada",$C$5:$C$504,"&lt;"&amp;$E202,$E$5:$E$504,"&gt;"&amp;$C202)&gt;1,"Se solapa con otra actividad en esta sala",""))</f>
        <v/>
      </c>
    </row>
    <row r="203" ht="21" customHeight="1">
      <c r="A203" s="35" t="n"/>
      <c r="B203" s="36" t="n"/>
      <c r="C203" s="37">
        <f>IF($A203="","",IF($B203&lt;&gt;"",$B203,IF($A203=$A202,$E202,Configuración!$C$5)))</f>
        <v/>
      </c>
      <c r="D203" s="38" t="n"/>
      <c r="E203" s="37">
        <f>IF(OR($C203="",$D203=""),"",$C203+$D203/1440)</f>
        <v/>
      </c>
      <c r="F203" s="39" t="n"/>
      <c r="G203" s="40" t="n"/>
      <c r="H203" s="40" t="n"/>
      <c r="I203" s="40" t="n"/>
      <c r="J203" s="40" t="n"/>
      <c r="K203" s="40" t="n"/>
      <c r="L203" s="41" t="n"/>
      <c r="M203" s="42">
        <f>IF(OR($C203="",$E203="",$H203="",$K203="Cancelada"),"",IF(COUNTIFS($A$5:$A$504,$A203,$H$5:$H$504,$H203,$K$5:$K$504,"&lt;&gt;Cancelada",$C$5:$C$504,"&lt;"&amp;$E203,$E$5:$E$504,"&gt;"&amp;$C203)&gt;1,"Se solapa con otra actividad en esta sala",""))</f>
        <v/>
      </c>
    </row>
    <row r="204" ht="21" customHeight="1">
      <c r="A204" s="35" t="n"/>
      <c r="B204" s="36" t="n"/>
      <c r="C204" s="37">
        <f>IF($A204="","",IF($B204&lt;&gt;"",$B204,IF($A204=$A203,$E203,Configuración!$C$5)))</f>
        <v/>
      </c>
      <c r="D204" s="38" t="n"/>
      <c r="E204" s="37">
        <f>IF(OR($C204="",$D204=""),"",$C204+$D204/1440)</f>
        <v/>
      </c>
      <c r="F204" s="39" t="n"/>
      <c r="G204" s="40" t="n"/>
      <c r="H204" s="40" t="n"/>
      <c r="I204" s="40" t="n"/>
      <c r="J204" s="40" t="n"/>
      <c r="K204" s="40" t="n"/>
      <c r="L204" s="41" t="n"/>
      <c r="M204" s="42">
        <f>IF(OR($C204="",$E204="",$H204="",$K204="Cancelada"),"",IF(COUNTIFS($A$5:$A$504,$A204,$H$5:$H$504,$H204,$K$5:$K$504,"&lt;&gt;Cancelada",$C$5:$C$504,"&lt;"&amp;$E204,$E$5:$E$504,"&gt;"&amp;$C204)&gt;1,"Se solapa con otra actividad en esta sala",""))</f>
        <v/>
      </c>
    </row>
    <row r="205" ht="21" customHeight="1">
      <c r="A205" s="35" t="n"/>
      <c r="B205" s="36" t="n"/>
      <c r="C205" s="37">
        <f>IF($A205="","",IF($B205&lt;&gt;"",$B205,IF($A205=$A204,$E204,Configuración!$C$5)))</f>
        <v/>
      </c>
      <c r="D205" s="38" t="n"/>
      <c r="E205" s="37">
        <f>IF(OR($C205="",$D205=""),"",$C205+$D205/1440)</f>
        <v/>
      </c>
      <c r="F205" s="39" t="n"/>
      <c r="G205" s="40" t="n"/>
      <c r="H205" s="40" t="n"/>
      <c r="I205" s="40" t="n"/>
      <c r="J205" s="40" t="n"/>
      <c r="K205" s="40" t="n"/>
      <c r="L205" s="41" t="n"/>
      <c r="M205" s="42">
        <f>IF(OR($C205="",$E205="",$H205="",$K205="Cancelada"),"",IF(COUNTIFS($A$5:$A$504,$A205,$H$5:$H$504,$H205,$K$5:$K$504,"&lt;&gt;Cancelada",$C$5:$C$504,"&lt;"&amp;$E205,$E$5:$E$504,"&gt;"&amp;$C205)&gt;1,"Se solapa con otra actividad en esta sala",""))</f>
        <v/>
      </c>
    </row>
    <row r="206" ht="21" customHeight="1">
      <c r="A206" s="35" t="n"/>
      <c r="B206" s="36" t="n"/>
      <c r="C206" s="37">
        <f>IF($A206="","",IF($B206&lt;&gt;"",$B206,IF($A206=$A205,$E205,Configuración!$C$5)))</f>
        <v/>
      </c>
      <c r="D206" s="38" t="n"/>
      <c r="E206" s="37">
        <f>IF(OR($C206="",$D206=""),"",$C206+$D206/1440)</f>
        <v/>
      </c>
      <c r="F206" s="39" t="n"/>
      <c r="G206" s="40" t="n"/>
      <c r="H206" s="40" t="n"/>
      <c r="I206" s="40" t="n"/>
      <c r="J206" s="40" t="n"/>
      <c r="K206" s="40" t="n"/>
      <c r="L206" s="41" t="n"/>
      <c r="M206" s="42">
        <f>IF(OR($C206="",$E206="",$H206="",$K206="Cancelada"),"",IF(COUNTIFS($A$5:$A$504,$A206,$H$5:$H$504,$H206,$K$5:$K$504,"&lt;&gt;Cancelada",$C$5:$C$504,"&lt;"&amp;$E206,$E$5:$E$504,"&gt;"&amp;$C206)&gt;1,"Se solapa con otra actividad en esta sala",""))</f>
        <v/>
      </c>
    </row>
    <row r="207" ht="21" customHeight="1">
      <c r="A207" s="35" t="n"/>
      <c r="B207" s="36" t="n"/>
      <c r="C207" s="37">
        <f>IF($A207="","",IF($B207&lt;&gt;"",$B207,IF($A207=$A206,$E206,Configuración!$C$5)))</f>
        <v/>
      </c>
      <c r="D207" s="38" t="n"/>
      <c r="E207" s="37">
        <f>IF(OR($C207="",$D207=""),"",$C207+$D207/1440)</f>
        <v/>
      </c>
      <c r="F207" s="39" t="n"/>
      <c r="G207" s="40" t="n"/>
      <c r="H207" s="40" t="n"/>
      <c r="I207" s="40" t="n"/>
      <c r="J207" s="40" t="n"/>
      <c r="K207" s="40" t="n"/>
      <c r="L207" s="41" t="n"/>
      <c r="M207" s="42">
        <f>IF(OR($C207="",$E207="",$H207="",$K207="Cancelada"),"",IF(COUNTIFS($A$5:$A$504,$A207,$H$5:$H$504,$H207,$K$5:$K$504,"&lt;&gt;Cancelada",$C$5:$C$504,"&lt;"&amp;$E207,$E$5:$E$504,"&gt;"&amp;$C207)&gt;1,"Se solapa con otra actividad en esta sala",""))</f>
        <v/>
      </c>
    </row>
    <row r="208" ht="21" customHeight="1">
      <c r="A208" s="35" t="n"/>
      <c r="B208" s="36" t="n"/>
      <c r="C208" s="37">
        <f>IF($A208="","",IF($B208&lt;&gt;"",$B208,IF($A208=$A207,$E207,Configuración!$C$5)))</f>
        <v/>
      </c>
      <c r="D208" s="38" t="n"/>
      <c r="E208" s="37">
        <f>IF(OR($C208="",$D208=""),"",$C208+$D208/1440)</f>
        <v/>
      </c>
      <c r="F208" s="39" t="n"/>
      <c r="G208" s="40" t="n"/>
      <c r="H208" s="40" t="n"/>
      <c r="I208" s="40" t="n"/>
      <c r="J208" s="40" t="n"/>
      <c r="K208" s="40" t="n"/>
      <c r="L208" s="41" t="n"/>
      <c r="M208" s="42">
        <f>IF(OR($C208="",$E208="",$H208="",$K208="Cancelada"),"",IF(COUNTIFS($A$5:$A$504,$A208,$H$5:$H$504,$H208,$K$5:$K$504,"&lt;&gt;Cancelada",$C$5:$C$504,"&lt;"&amp;$E208,$E$5:$E$504,"&gt;"&amp;$C208)&gt;1,"Se solapa con otra actividad en esta sala",""))</f>
        <v/>
      </c>
    </row>
    <row r="209" ht="21" customHeight="1">
      <c r="A209" s="35" t="n"/>
      <c r="B209" s="36" t="n"/>
      <c r="C209" s="37">
        <f>IF($A209="","",IF($B209&lt;&gt;"",$B209,IF($A209=$A208,$E208,Configuración!$C$5)))</f>
        <v/>
      </c>
      <c r="D209" s="38" t="n"/>
      <c r="E209" s="37">
        <f>IF(OR($C209="",$D209=""),"",$C209+$D209/1440)</f>
        <v/>
      </c>
      <c r="F209" s="39" t="n"/>
      <c r="G209" s="40" t="n"/>
      <c r="H209" s="40" t="n"/>
      <c r="I209" s="40" t="n"/>
      <c r="J209" s="40" t="n"/>
      <c r="K209" s="40" t="n"/>
      <c r="L209" s="41" t="n"/>
      <c r="M209" s="42">
        <f>IF(OR($C209="",$E209="",$H209="",$K209="Cancelada"),"",IF(COUNTIFS($A$5:$A$504,$A209,$H$5:$H$504,$H209,$K$5:$K$504,"&lt;&gt;Cancelada",$C$5:$C$504,"&lt;"&amp;$E209,$E$5:$E$504,"&gt;"&amp;$C209)&gt;1,"Se solapa con otra actividad en esta sala",""))</f>
        <v/>
      </c>
    </row>
    <row r="210" ht="21" customHeight="1">
      <c r="A210" s="35" t="n"/>
      <c r="B210" s="36" t="n"/>
      <c r="C210" s="37">
        <f>IF($A210="","",IF($B210&lt;&gt;"",$B210,IF($A210=$A209,$E209,Configuración!$C$5)))</f>
        <v/>
      </c>
      <c r="D210" s="38" t="n"/>
      <c r="E210" s="37">
        <f>IF(OR($C210="",$D210=""),"",$C210+$D210/1440)</f>
        <v/>
      </c>
      <c r="F210" s="39" t="n"/>
      <c r="G210" s="40" t="n"/>
      <c r="H210" s="40" t="n"/>
      <c r="I210" s="40" t="n"/>
      <c r="J210" s="40" t="n"/>
      <c r="K210" s="40" t="n"/>
      <c r="L210" s="41" t="n"/>
      <c r="M210" s="42">
        <f>IF(OR($C210="",$E210="",$H210="",$K210="Cancelada"),"",IF(COUNTIFS($A$5:$A$504,$A210,$H$5:$H$504,$H210,$K$5:$K$504,"&lt;&gt;Cancelada",$C$5:$C$504,"&lt;"&amp;$E210,$E$5:$E$504,"&gt;"&amp;$C210)&gt;1,"Se solapa con otra actividad en esta sala",""))</f>
        <v/>
      </c>
    </row>
    <row r="211" ht="21" customHeight="1">
      <c r="A211" s="35" t="n"/>
      <c r="B211" s="36" t="n"/>
      <c r="C211" s="37">
        <f>IF($A211="","",IF($B211&lt;&gt;"",$B211,IF($A211=$A210,$E210,Configuración!$C$5)))</f>
        <v/>
      </c>
      <c r="D211" s="38" t="n"/>
      <c r="E211" s="37">
        <f>IF(OR($C211="",$D211=""),"",$C211+$D211/1440)</f>
        <v/>
      </c>
      <c r="F211" s="39" t="n"/>
      <c r="G211" s="40" t="n"/>
      <c r="H211" s="40" t="n"/>
      <c r="I211" s="40" t="n"/>
      <c r="J211" s="40" t="n"/>
      <c r="K211" s="40" t="n"/>
      <c r="L211" s="41" t="n"/>
      <c r="M211" s="42">
        <f>IF(OR($C211="",$E211="",$H211="",$K211="Cancelada"),"",IF(COUNTIFS($A$5:$A$504,$A211,$H$5:$H$504,$H211,$K$5:$K$504,"&lt;&gt;Cancelada",$C$5:$C$504,"&lt;"&amp;$E211,$E$5:$E$504,"&gt;"&amp;$C211)&gt;1,"Se solapa con otra actividad en esta sala",""))</f>
        <v/>
      </c>
    </row>
    <row r="212" ht="21" customHeight="1">
      <c r="A212" s="35" t="n"/>
      <c r="B212" s="36" t="n"/>
      <c r="C212" s="37">
        <f>IF($A212="","",IF($B212&lt;&gt;"",$B212,IF($A212=$A211,$E211,Configuración!$C$5)))</f>
        <v/>
      </c>
      <c r="D212" s="38" t="n"/>
      <c r="E212" s="37">
        <f>IF(OR($C212="",$D212=""),"",$C212+$D212/1440)</f>
        <v/>
      </c>
      <c r="F212" s="39" t="n"/>
      <c r="G212" s="40" t="n"/>
      <c r="H212" s="40" t="n"/>
      <c r="I212" s="40" t="n"/>
      <c r="J212" s="40" t="n"/>
      <c r="K212" s="40" t="n"/>
      <c r="L212" s="41" t="n"/>
      <c r="M212" s="42">
        <f>IF(OR($C212="",$E212="",$H212="",$K212="Cancelada"),"",IF(COUNTIFS($A$5:$A$504,$A212,$H$5:$H$504,$H212,$K$5:$K$504,"&lt;&gt;Cancelada",$C$5:$C$504,"&lt;"&amp;$E212,$E$5:$E$504,"&gt;"&amp;$C212)&gt;1,"Se solapa con otra actividad en esta sala",""))</f>
        <v/>
      </c>
    </row>
    <row r="213" ht="21" customHeight="1">
      <c r="A213" s="35" t="n"/>
      <c r="B213" s="36" t="n"/>
      <c r="C213" s="37">
        <f>IF($A213="","",IF($B213&lt;&gt;"",$B213,IF($A213=$A212,$E212,Configuración!$C$5)))</f>
        <v/>
      </c>
      <c r="D213" s="38" t="n"/>
      <c r="E213" s="37">
        <f>IF(OR($C213="",$D213=""),"",$C213+$D213/1440)</f>
        <v/>
      </c>
      <c r="F213" s="39" t="n"/>
      <c r="G213" s="40" t="n"/>
      <c r="H213" s="40" t="n"/>
      <c r="I213" s="40" t="n"/>
      <c r="J213" s="40" t="n"/>
      <c r="K213" s="40" t="n"/>
      <c r="L213" s="41" t="n"/>
      <c r="M213" s="42">
        <f>IF(OR($C213="",$E213="",$H213="",$K213="Cancelada"),"",IF(COUNTIFS($A$5:$A$504,$A213,$H$5:$H$504,$H213,$K$5:$K$504,"&lt;&gt;Cancelada",$C$5:$C$504,"&lt;"&amp;$E213,$E$5:$E$504,"&gt;"&amp;$C213)&gt;1,"Se solapa con otra actividad en esta sala",""))</f>
        <v/>
      </c>
    </row>
    <row r="214" ht="21" customHeight="1">
      <c r="A214" s="35" t="n"/>
      <c r="B214" s="36" t="n"/>
      <c r="C214" s="37">
        <f>IF($A214="","",IF($B214&lt;&gt;"",$B214,IF($A214=$A213,$E213,Configuración!$C$5)))</f>
        <v/>
      </c>
      <c r="D214" s="38" t="n"/>
      <c r="E214" s="37">
        <f>IF(OR($C214="",$D214=""),"",$C214+$D214/1440)</f>
        <v/>
      </c>
      <c r="F214" s="39" t="n"/>
      <c r="G214" s="40" t="n"/>
      <c r="H214" s="40" t="n"/>
      <c r="I214" s="40" t="n"/>
      <c r="J214" s="40" t="n"/>
      <c r="K214" s="40" t="n"/>
      <c r="L214" s="41" t="n"/>
      <c r="M214" s="42">
        <f>IF(OR($C214="",$E214="",$H214="",$K214="Cancelada"),"",IF(COUNTIFS($A$5:$A$504,$A214,$H$5:$H$504,$H214,$K$5:$K$504,"&lt;&gt;Cancelada",$C$5:$C$504,"&lt;"&amp;$E214,$E$5:$E$504,"&gt;"&amp;$C214)&gt;1,"Se solapa con otra actividad en esta sala",""))</f>
        <v/>
      </c>
    </row>
    <row r="215" ht="21" customHeight="1">
      <c r="A215" s="35" t="n"/>
      <c r="B215" s="36" t="n"/>
      <c r="C215" s="37">
        <f>IF($A215="","",IF($B215&lt;&gt;"",$B215,IF($A215=$A214,$E214,Configuración!$C$5)))</f>
        <v/>
      </c>
      <c r="D215" s="38" t="n"/>
      <c r="E215" s="37">
        <f>IF(OR($C215="",$D215=""),"",$C215+$D215/1440)</f>
        <v/>
      </c>
      <c r="F215" s="39" t="n"/>
      <c r="G215" s="40" t="n"/>
      <c r="H215" s="40" t="n"/>
      <c r="I215" s="40" t="n"/>
      <c r="J215" s="40" t="n"/>
      <c r="K215" s="40" t="n"/>
      <c r="L215" s="41" t="n"/>
      <c r="M215" s="42">
        <f>IF(OR($C215="",$E215="",$H215="",$K215="Cancelada"),"",IF(COUNTIFS($A$5:$A$504,$A215,$H$5:$H$504,$H215,$K$5:$K$504,"&lt;&gt;Cancelada",$C$5:$C$504,"&lt;"&amp;$E215,$E$5:$E$504,"&gt;"&amp;$C215)&gt;1,"Se solapa con otra actividad en esta sala",""))</f>
        <v/>
      </c>
    </row>
    <row r="216" ht="21" customHeight="1">
      <c r="A216" s="35" t="n"/>
      <c r="B216" s="36" t="n"/>
      <c r="C216" s="37">
        <f>IF($A216="","",IF($B216&lt;&gt;"",$B216,IF($A216=$A215,$E215,Configuración!$C$5)))</f>
        <v/>
      </c>
      <c r="D216" s="38" t="n"/>
      <c r="E216" s="37">
        <f>IF(OR($C216="",$D216=""),"",$C216+$D216/1440)</f>
        <v/>
      </c>
      <c r="F216" s="39" t="n"/>
      <c r="G216" s="40" t="n"/>
      <c r="H216" s="40" t="n"/>
      <c r="I216" s="40" t="n"/>
      <c r="J216" s="40" t="n"/>
      <c r="K216" s="40" t="n"/>
      <c r="L216" s="41" t="n"/>
      <c r="M216" s="42">
        <f>IF(OR($C216="",$E216="",$H216="",$K216="Cancelada"),"",IF(COUNTIFS($A$5:$A$504,$A216,$H$5:$H$504,$H216,$K$5:$K$504,"&lt;&gt;Cancelada",$C$5:$C$504,"&lt;"&amp;$E216,$E$5:$E$504,"&gt;"&amp;$C216)&gt;1,"Se solapa con otra actividad en esta sala",""))</f>
        <v/>
      </c>
    </row>
    <row r="217" ht="21" customHeight="1">
      <c r="A217" s="35" t="n"/>
      <c r="B217" s="36" t="n"/>
      <c r="C217" s="37">
        <f>IF($A217="","",IF($B217&lt;&gt;"",$B217,IF($A217=$A216,$E216,Configuración!$C$5)))</f>
        <v/>
      </c>
      <c r="D217" s="38" t="n"/>
      <c r="E217" s="37">
        <f>IF(OR($C217="",$D217=""),"",$C217+$D217/1440)</f>
        <v/>
      </c>
      <c r="F217" s="39" t="n"/>
      <c r="G217" s="40" t="n"/>
      <c r="H217" s="40" t="n"/>
      <c r="I217" s="40" t="n"/>
      <c r="J217" s="40" t="n"/>
      <c r="K217" s="40" t="n"/>
      <c r="L217" s="41" t="n"/>
      <c r="M217" s="42">
        <f>IF(OR($C217="",$E217="",$H217="",$K217="Cancelada"),"",IF(COUNTIFS($A$5:$A$504,$A217,$H$5:$H$504,$H217,$K$5:$K$504,"&lt;&gt;Cancelada",$C$5:$C$504,"&lt;"&amp;$E217,$E$5:$E$504,"&gt;"&amp;$C217)&gt;1,"Se solapa con otra actividad en esta sala",""))</f>
        <v/>
      </c>
    </row>
    <row r="218" ht="21" customHeight="1">
      <c r="A218" s="35" t="n"/>
      <c r="B218" s="36" t="n"/>
      <c r="C218" s="37">
        <f>IF($A218="","",IF($B218&lt;&gt;"",$B218,IF($A218=$A217,$E217,Configuración!$C$5)))</f>
        <v/>
      </c>
      <c r="D218" s="38" t="n"/>
      <c r="E218" s="37">
        <f>IF(OR($C218="",$D218=""),"",$C218+$D218/1440)</f>
        <v/>
      </c>
      <c r="F218" s="39" t="n"/>
      <c r="G218" s="40" t="n"/>
      <c r="H218" s="40" t="n"/>
      <c r="I218" s="40" t="n"/>
      <c r="J218" s="40" t="n"/>
      <c r="K218" s="40" t="n"/>
      <c r="L218" s="41" t="n"/>
      <c r="M218" s="42">
        <f>IF(OR($C218="",$E218="",$H218="",$K218="Cancelada"),"",IF(COUNTIFS($A$5:$A$504,$A218,$H$5:$H$504,$H218,$K$5:$K$504,"&lt;&gt;Cancelada",$C$5:$C$504,"&lt;"&amp;$E218,$E$5:$E$504,"&gt;"&amp;$C218)&gt;1,"Se solapa con otra actividad en esta sala",""))</f>
        <v/>
      </c>
    </row>
    <row r="219" ht="21" customHeight="1">
      <c r="A219" s="35" t="n"/>
      <c r="B219" s="36" t="n"/>
      <c r="C219" s="37">
        <f>IF($A219="","",IF($B219&lt;&gt;"",$B219,IF($A219=$A218,$E218,Configuración!$C$5)))</f>
        <v/>
      </c>
      <c r="D219" s="38" t="n"/>
      <c r="E219" s="37">
        <f>IF(OR($C219="",$D219=""),"",$C219+$D219/1440)</f>
        <v/>
      </c>
      <c r="F219" s="39" t="n"/>
      <c r="G219" s="40" t="n"/>
      <c r="H219" s="40" t="n"/>
      <c r="I219" s="40" t="n"/>
      <c r="J219" s="40" t="n"/>
      <c r="K219" s="40" t="n"/>
      <c r="L219" s="41" t="n"/>
      <c r="M219" s="42">
        <f>IF(OR($C219="",$E219="",$H219="",$K219="Cancelada"),"",IF(COUNTIFS($A$5:$A$504,$A219,$H$5:$H$504,$H219,$K$5:$K$504,"&lt;&gt;Cancelada",$C$5:$C$504,"&lt;"&amp;$E219,$E$5:$E$504,"&gt;"&amp;$C219)&gt;1,"Se solapa con otra actividad en esta sala",""))</f>
        <v/>
      </c>
    </row>
    <row r="220" ht="21" customHeight="1">
      <c r="A220" s="35" t="n"/>
      <c r="B220" s="36" t="n"/>
      <c r="C220" s="37">
        <f>IF($A220="","",IF($B220&lt;&gt;"",$B220,IF($A220=$A219,$E219,Configuración!$C$5)))</f>
        <v/>
      </c>
      <c r="D220" s="38" t="n"/>
      <c r="E220" s="37">
        <f>IF(OR($C220="",$D220=""),"",$C220+$D220/1440)</f>
        <v/>
      </c>
      <c r="F220" s="39" t="n"/>
      <c r="G220" s="40" t="n"/>
      <c r="H220" s="40" t="n"/>
      <c r="I220" s="40" t="n"/>
      <c r="J220" s="40" t="n"/>
      <c r="K220" s="40" t="n"/>
      <c r="L220" s="41" t="n"/>
      <c r="M220" s="42">
        <f>IF(OR($C220="",$E220="",$H220="",$K220="Cancelada"),"",IF(COUNTIFS($A$5:$A$504,$A220,$H$5:$H$504,$H220,$K$5:$K$504,"&lt;&gt;Cancelada",$C$5:$C$504,"&lt;"&amp;$E220,$E$5:$E$504,"&gt;"&amp;$C220)&gt;1,"Se solapa con otra actividad en esta sala",""))</f>
        <v/>
      </c>
    </row>
    <row r="221" ht="21" customHeight="1">
      <c r="A221" s="35" t="n"/>
      <c r="B221" s="36" t="n"/>
      <c r="C221" s="37">
        <f>IF($A221="","",IF($B221&lt;&gt;"",$B221,IF($A221=$A220,$E220,Configuración!$C$5)))</f>
        <v/>
      </c>
      <c r="D221" s="38" t="n"/>
      <c r="E221" s="37">
        <f>IF(OR($C221="",$D221=""),"",$C221+$D221/1440)</f>
        <v/>
      </c>
      <c r="F221" s="39" t="n"/>
      <c r="G221" s="40" t="n"/>
      <c r="H221" s="40" t="n"/>
      <c r="I221" s="40" t="n"/>
      <c r="J221" s="40" t="n"/>
      <c r="K221" s="40" t="n"/>
      <c r="L221" s="41" t="n"/>
      <c r="M221" s="42">
        <f>IF(OR($C221="",$E221="",$H221="",$K221="Cancelada"),"",IF(COUNTIFS($A$5:$A$504,$A221,$H$5:$H$504,$H221,$K$5:$K$504,"&lt;&gt;Cancelada",$C$5:$C$504,"&lt;"&amp;$E221,$E$5:$E$504,"&gt;"&amp;$C221)&gt;1,"Se solapa con otra actividad en esta sala",""))</f>
        <v/>
      </c>
    </row>
    <row r="222" ht="21" customHeight="1">
      <c r="A222" s="35" t="n"/>
      <c r="B222" s="36" t="n"/>
      <c r="C222" s="37">
        <f>IF($A222="","",IF($B222&lt;&gt;"",$B222,IF($A222=$A221,$E221,Configuración!$C$5)))</f>
        <v/>
      </c>
      <c r="D222" s="38" t="n"/>
      <c r="E222" s="37">
        <f>IF(OR($C222="",$D222=""),"",$C222+$D222/1440)</f>
        <v/>
      </c>
      <c r="F222" s="39" t="n"/>
      <c r="G222" s="40" t="n"/>
      <c r="H222" s="40" t="n"/>
      <c r="I222" s="40" t="n"/>
      <c r="J222" s="40" t="n"/>
      <c r="K222" s="40" t="n"/>
      <c r="L222" s="41" t="n"/>
      <c r="M222" s="42">
        <f>IF(OR($C222="",$E222="",$H222="",$K222="Cancelada"),"",IF(COUNTIFS($A$5:$A$504,$A222,$H$5:$H$504,$H222,$K$5:$K$504,"&lt;&gt;Cancelada",$C$5:$C$504,"&lt;"&amp;$E222,$E$5:$E$504,"&gt;"&amp;$C222)&gt;1,"Se solapa con otra actividad en esta sala",""))</f>
        <v/>
      </c>
    </row>
    <row r="223" ht="21" customHeight="1">
      <c r="A223" s="35" t="n"/>
      <c r="B223" s="36" t="n"/>
      <c r="C223" s="37">
        <f>IF($A223="","",IF($B223&lt;&gt;"",$B223,IF($A223=$A222,$E222,Configuración!$C$5)))</f>
        <v/>
      </c>
      <c r="D223" s="38" t="n"/>
      <c r="E223" s="37">
        <f>IF(OR($C223="",$D223=""),"",$C223+$D223/1440)</f>
        <v/>
      </c>
      <c r="F223" s="39" t="n"/>
      <c r="G223" s="40" t="n"/>
      <c r="H223" s="40" t="n"/>
      <c r="I223" s="40" t="n"/>
      <c r="J223" s="40" t="n"/>
      <c r="K223" s="40" t="n"/>
      <c r="L223" s="41" t="n"/>
      <c r="M223" s="42">
        <f>IF(OR($C223="",$E223="",$H223="",$K223="Cancelada"),"",IF(COUNTIFS($A$5:$A$504,$A223,$H$5:$H$504,$H223,$K$5:$K$504,"&lt;&gt;Cancelada",$C$5:$C$504,"&lt;"&amp;$E223,$E$5:$E$504,"&gt;"&amp;$C223)&gt;1,"Se solapa con otra actividad en esta sala",""))</f>
        <v/>
      </c>
    </row>
    <row r="224" ht="21" customHeight="1">
      <c r="A224" s="35" t="n"/>
      <c r="B224" s="36" t="n"/>
      <c r="C224" s="37">
        <f>IF($A224="","",IF($B224&lt;&gt;"",$B224,IF($A224=$A223,$E223,Configuración!$C$5)))</f>
        <v/>
      </c>
      <c r="D224" s="38" t="n"/>
      <c r="E224" s="37">
        <f>IF(OR($C224="",$D224=""),"",$C224+$D224/1440)</f>
        <v/>
      </c>
      <c r="F224" s="39" t="n"/>
      <c r="G224" s="40" t="n"/>
      <c r="H224" s="40" t="n"/>
      <c r="I224" s="40" t="n"/>
      <c r="J224" s="40" t="n"/>
      <c r="K224" s="40" t="n"/>
      <c r="L224" s="41" t="n"/>
      <c r="M224" s="42">
        <f>IF(OR($C224="",$E224="",$H224="",$K224="Cancelada"),"",IF(COUNTIFS($A$5:$A$504,$A224,$H$5:$H$504,$H224,$K$5:$K$504,"&lt;&gt;Cancelada",$C$5:$C$504,"&lt;"&amp;$E224,$E$5:$E$504,"&gt;"&amp;$C224)&gt;1,"Se solapa con otra actividad en esta sala",""))</f>
        <v/>
      </c>
    </row>
    <row r="225" ht="21" customHeight="1">
      <c r="A225" s="35" t="n"/>
      <c r="B225" s="36" t="n"/>
      <c r="C225" s="37">
        <f>IF($A225="","",IF($B225&lt;&gt;"",$B225,IF($A225=$A224,$E224,Configuración!$C$5)))</f>
        <v/>
      </c>
      <c r="D225" s="38" t="n"/>
      <c r="E225" s="37">
        <f>IF(OR($C225="",$D225=""),"",$C225+$D225/1440)</f>
        <v/>
      </c>
      <c r="F225" s="39" t="n"/>
      <c r="G225" s="40" t="n"/>
      <c r="H225" s="40" t="n"/>
      <c r="I225" s="40" t="n"/>
      <c r="J225" s="40" t="n"/>
      <c r="K225" s="40" t="n"/>
      <c r="L225" s="41" t="n"/>
      <c r="M225" s="42">
        <f>IF(OR($C225="",$E225="",$H225="",$K225="Cancelada"),"",IF(COUNTIFS($A$5:$A$504,$A225,$H$5:$H$504,$H225,$K$5:$K$504,"&lt;&gt;Cancelada",$C$5:$C$504,"&lt;"&amp;$E225,$E$5:$E$504,"&gt;"&amp;$C225)&gt;1,"Se solapa con otra actividad en esta sala",""))</f>
        <v/>
      </c>
    </row>
    <row r="226" ht="21" customHeight="1">
      <c r="A226" s="35" t="n"/>
      <c r="B226" s="36" t="n"/>
      <c r="C226" s="37">
        <f>IF($A226="","",IF($B226&lt;&gt;"",$B226,IF($A226=$A225,$E225,Configuración!$C$5)))</f>
        <v/>
      </c>
      <c r="D226" s="38" t="n"/>
      <c r="E226" s="37">
        <f>IF(OR($C226="",$D226=""),"",$C226+$D226/1440)</f>
        <v/>
      </c>
      <c r="F226" s="39" t="n"/>
      <c r="G226" s="40" t="n"/>
      <c r="H226" s="40" t="n"/>
      <c r="I226" s="40" t="n"/>
      <c r="J226" s="40" t="n"/>
      <c r="K226" s="40" t="n"/>
      <c r="L226" s="41" t="n"/>
      <c r="M226" s="42">
        <f>IF(OR($C226="",$E226="",$H226="",$K226="Cancelada"),"",IF(COUNTIFS($A$5:$A$504,$A226,$H$5:$H$504,$H226,$K$5:$K$504,"&lt;&gt;Cancelada",$C$5:$C$504,"&lt;"&amp;$E226,$E$5:$E$504,"&gt;"&amp;$C226)&gt;1,"Se solapa con otra actividad en esta sala",""))</f>
        <v/>
      </c>
    </row>
    <row r="227" ht="21" customHeight="1">
      <c r="A227" s="35" t="n"/>
      <c r="B227" s="36" t="n"/>
      <c r="C227" s="37">
        <f>IF($A227="","",IF($B227&lt;&gt;"",$B227,IF($A227=$A226,$E226,Configuración!$C$5)))</f>
        <v/>
      </c>
      <c r="D227" s="38" t="n"/>
      <c r="E227" s="37">
        <f>IF(OR($C227="",$D227=""),"",$C227+$D227/1440)</f>
        <v/>
      </c>
      <c r="F227" s="39" t="n"/>
      <c r="G227" s="40" t="n"/>
      <c r="H227" s="40" t="n"/>
      <c r="I227" s="40" t="n"/>
      <c r="J227" s="40" t="n"/>
      <c r="K227" s="40" t="n"/>
      <c r="L227" s="41" t="n"/>
      <c r="M227" s="42">
        <f>IF(OR($C227="",$E227="",$H227="",$K227="Cancelada"),"",IF(COUNTIFS($A$5:$A$504,$A227,$H$5:$H$504,$H227,$K$5:$K$504,"&lt;&gt;Cancelada",$C$5:$C$504,"&lt;"&amp;$E227,$E$5:$E$504,"&gt;"&amp;$C227)&gt;1,"Se solapa con otra actividad en esta sala",""))</f>
        <v/>
      </c>
    </row>
    <row r="228" ht="21" customHeight="1">
      <c r="A228" s="35" t="n"/>
      <c r="B228" s="36" t="n"/>
      <c r="C228" s="37">
        <f>IF($A228="","",IF($B228&lt;&gt;"",$B228,IF($A228=$A227,$E227,Configuración!$C$5)))</f>
        <v/>
      </c>
      <c r="D228" s="38" t="n"/>
      <c r="E228" s="37">
        <f>IF(OR($C228="",$D228=""),"",$C228+$D228/1440)</f>
        <v/>
      </c>
      <c r="F228" s="39" t="n"/>
      <c r="G228" s="40" t="n"/>
      <c r="H228" s="40" t="n"/>
      <c r="I228" s="40" t="n"/>
      <c r="J228" s="40" t="n"/>
      <c r="K228" s="40" t="n"/>
      <c r="L228" s="41" t="n"/>
      <c r="M228" s="42">
        <f>IF(OR($C228="",$E228="",$H228="",$K228="Cancelada"),"",IF(COUNTIFS($A$5:$A$504,$A228,$H$5:$H$504,$H228,$K$5:$K$504,"&lt;&gt;Cancelada",$C$5:$C$504,"&lt;"&amp;$E228,$E$5:$E$504,"&gt;"&amp;$C228)&gt;1,"Se solapa con otra actividad en esta sala",""))</f>
        <v/>
      </c>
    </row>
    <row r="229" ht="21" customHeight="1">
      <c r="A229" s="35" t="n"/>
      <c r="B229" s="36" t="n"/>
      <c r="C229" s="37">
        <f>IF($A229="","",IF($B229&lt;&gt;"",$B229,IF($A229=$A228,$E228,Configuración!$C$5)))</f>
        <v/>
      </c>
      <c r="D229" s="38" t="n"/>
      <c r="E229" s="37">
        <f>IF(OR($C229="",$D229=""),"",$C229+$D229/1440)</f>
        <v/>
      </c>
      <c r="F229" s="39" t="n"/>
      <c r="G229" s="40" t="n"/>
      <c r="H229" s="40" t="n"/>
      <c r="I229" s="40" t="n"/>
      <c r="J229" s="40" t="n"/>
      <c r="K229" s="40" t="n"/>
      <c r="L229" s="41" t="n"/>
      <c r="M229" s="42">
        <f>IF(OR($C229="",$E229="",$H229="",$K229="Cancelada"),"",IF(COUNTIFS($A$5:$A$504,$A229,$H$5:$H$504,$H229,$K$5:$K$504,"&lt;&gt;Cancelada",$C$5:$C$504,"&lt;"&amp;$E229,$E$5:$E$504,"&gt;"&amp;$C229)&gt;1,"Se solapa con otra actividad en esta sala",""))</f>
        <v/>
      </c>
    </row>
    <row r="230" ht="21" customHeight="1">
      <c r="A230" s="35" t="n"/>
      <c r="B230" s="36" t="n"/>
      <c r="C230" s="37">
        <f>IF($A230="","",IF($B230&lt;&gt;"",$B230,IF($A230=$A229,$E229,Configuración!$C$5)))</f>
        <v/>
      </c>
      <c r="D230" s="38" t="n"/>
      <c r="E230" s="37">
        <f>IF(OR($C230="",$D230=""),"",$C230+$D230/1440)</f>
        <v/>
      </c>
      <c r="F230" s="39" t="n"/>
      <c r="G230" s="40" t="n"/>
      <c r="H230" s="40" t="n"/>
      <c r="I230" s="40" t="n"/>
      <c r="J230" s="40" t="n"/>
      <c r="K230" s="40" t="n"/>
      <c r="L230" s="41" t="n"/>
      <c r="M230" s="42">
        <f>IF(OR($C230="",$E230="",$H230="",$K230="Cancelada"),"",IF(COUNTIFS($A$5:$A$504,$A230,$H$5:$H$504,$H230,$K$5:$K$504,"&lt;&gt;Cancelada",$C$5:$C$504,"&lt;"&amp;$E230,$E$5:$E$504,"&gt;"&amp;$C230)&gt;1,"Se solapa con otra actividad en esta sala",""))</f>
        <v/>
      </c>
    </row>
    <row r="231" ht="21" customHeight="1">
      <c r="A231" s="35" t="n"/>
      <c r="B231" s="36" t="n"/>
      <c r="C231" s="37">
        <f>IF($A231="","",IF($B231&lt;&gt;"",$B231,IF($A231=$A230,$E230,Configuración!$C$5)))</f>
        <v/>
      </c>
      <c r="D231" s="38" t="n"/>
      <c r="E231" s="37">
        <f>IF(OR($C231="",$D231=""),"",$C231+$D231/1440)</f>
        <v/>
      </c>
      <c r="F231" s="39" t="n"/>
      <c r="G231" s="40" t="n"/>
      <c r="H231" s="40" t="n"/>
      <c r="I231" s="40" t="n"/>
      <c r="J231" s="40" t="n"/>
      <c r="K231" s="40" t="n"/>
      <c r="L231" s="41" t="n"/>
      <c r="M231" s="42">
        <f>IF(OR($C231="",$E231="",$H231="",$K231="Cancelada"),"",IF(COUNTIFS($A$5:$A$504,$A231,$H$5:$H$504,$H231,$K$5:$K$504,"&lt;&gt;Cancelada",$C$5:$C$504,"&lt;"&amp;$E231,$E$5:$E$504,"&gt;"&amp;$C231)&gt;1,"Se solapa con otra actividad en esta sala",""))</f>
        <v/>
      </c>
    </row>
    <row r="232" ht="21" customHeight="1">
      <c r="A232" s="35" t="n"/>
      <c r="B232" s="36" t="n"/>
      <c r="C232" s="37">
        <f>IF($A232="","",IF($B232&lt;&gt;"",$B232,IF($A232=$A231,$E231,Configuración!$C$5)))</f>
        <v/>
      </c>
      <c r="D232" s="38" t="n"/>
      <c r="E232" s="37">
        <f>IF(OR($C232="",$D232=""),"",$C232+$D232/1440)</f>
        <v/>
      </c>
      <c r="F232" s="39" t="n"/>
      <c r="G232" s="40" t="n"/>
      <c r="H232" s="40" t="n"/>
      <c r="I232" s="40" t="n"/>
      <c r="J232" s="40" t="n"/>
      <c r="K232" s="40" t="n"/>
      <c r="L232" s="41" t="n"/>
      <c r="M232" s="42">
        <f>IF(OR($C232="",$E232="",$H232="",$K232="Cancelada"),"",IF(COUNTIFS($A$5:$A$504,$A232,$H$5:$H$504,$H232,$K$5:$K$504,"&lt;&gt;Cancelada",$C$5:$C$504,"&lt;"&amp;$E232,$E$5:$E$504,"&gt;"&amp;$C232)&gt;1,"Se solapa con otra actividad en esta sala",""))</f>
        <v/>
      </c>
    </row>
    <row r="233" ht="21" customHeight="1">
      <c r="A233" s="35" t="n"/>
      <c r="B233" s="36" t="n"/>
      <c r="C233" s="37">
        <f>IF($A233="","",IF($B233&lt;&gt;"",$B233,IF($A233=$A232,$E232,Configuración!$C$5)))</f>
        <v/>
      </c>
      <c r="D233" s="38" t="n"/>
      <c r="E233" s="37">
        <f>IF(OR($C233="",$D233=""),"",$C233+$D233/1440)</f>
        <v/>
      </c>
      <c r="F233" s="39" t="n"/>
      <c r="G233" s="40" t="n"/>
      <c r="H233" s="40" t="n"/>
      <c r="I233" s="40" t="n"/>
      <c r="J233" s="40" t="n"/>
      <c r="K233" s="40" t="n"/>
      <c r="L233" s="41" t="n"/>
      <c r="M233" s="42">
        <f>IF(OR($C233="",$E233="",$H233="",$K233="Cancelada"),"",IF(COUNTIFS($A$5:$A$504,$A233,$H$5:$H$504,$H233,$K$5:$K$504,"&lt;&gt;Cancelada",$C$5:$C$504,"&lt;"&amp;$E233,$E$5:$E$504,"&gt;"&amp;$C233)&gt;1,"Se solapa con otra actividad en esta sala",""))</f>
        <v/>
      </c>
    </row>
    <row r="234" ht="21" customHeight="1">
      <c r="A234" s="35" t="n"/>
      <c r="B234" s="36" t="n"/>
      <c r="C234" s="37">
        <f>IF($A234="","",IF($B234&lt;&gt;"",$B234,IF($A234=$A233,$E233,Configuración!$C$5)))</f>
        <v/>
      </c>
      <c r="D234" s="38" t="n"/>
      <c r="E234" s="37">
        <f>IF(OR($C234="",$D234=""),"",$C234+$D234/1440)</f>
        <v/>
      </c>
      <c r="F234" s="39" t="n"/>
      <c r="G234" s="40" t="n"/>
      <c r="H234" s="40" t="n"/>
      <c r="I234" s="40" t="n"/>
      <c r="J234" s="40" t="n"/>
      <c r="K234" s="40" t="n"/>
      <c r="L234" s="41" t="n"/>
      <c r="M234" s="42">
        <f>IF(OR($C234="",$E234="",$H234="",$K234="Cancelada"),"",IF(COUNTIFS($A$5:$A$504,$A234,$H$5:$H$504,$H234,$K$5:$K$504,"&lt;&gt;Cancelada",$C$5:$C$504,"&lt;"&amp;$E234,$E$5:$E$504,"&gt;"&amp;$C234)&gt;1,"Se solapa con otra actividad en esta sala",""))</f>
        <v/>
      </c>
    </row>
    <row r="235" ht="21" customHeight="1">
      <c r="A235" s="35" t="n"/>
      <c r="B235" s="36" t="n"/>
      <c r="C235" s="37">
        <f>IF($A235="","",IF($B235&lt;&gt;"",$B235,IF($A235=$A234,$E234,Configuración!$C$5)))</f>
        <v/>
      </c>
      <c r="D235" s="38" t="n"/>
      <c r="E235" s="37">
        <f>IF(OR($C235="",$D235=""),"",$C235+$D235/1440)</f>
        <v/>
      </c>
      <c r="F235" s="39" t="n"/>
      <c r="G235" s="40" t="n"/>
      <c r="H235" s="40" t="n"/>
      <c r="I235" s="40" t="n"/>
      <c r="J235" s="40" t="n"/>
      <c r="K235" s="40" t="n"/>
      <c r="L235" s="41" t="n"/>
      <c r="M235" s="42">
        <f>IF(OR($C235="",$E235="",$H235="",$K235="Cancelada"),"",IF(COUNTIFS($A$5:$A$504,$A235,$H$5:$H$504,$H235,$K$5:$K$504,"&lt;&gt;Cancelada",$C$5:$C$504,"&lt;"&amp;$E235,$E$5:$E$504,"&gt;"&amp;$C235)&gt;1,"Se solapa con otra actividad en esta sala",""))</f>
        <v/>
      </c>
    </row>
    <row r="236" ht="21" customHeight="1">
      <c r="A236" s="35" t="n"/>
      <c r="B236" s="36" t="n"/>
      <c r="C236" s="37">
        <f>IF($A236="","",IF($B236&lt;&gt;"",$B236,IF($A236=$A235,$E235,Configuración!$C$5)))</f>
        <v/>
      </c>
      <c r="D236" s="38" t="n"/>
      <c r="E236" s="37">
        <f>IF(OR($C236="",$D236=""),"",$C236+$D236/1440)</f>
        <v/>
      </c>
      <c r="F236" s="39" t="n"/>
      <c r="G236" s="40" t="n"/>
      <c r="H236" s="40" t="n"/>
      <c r="I236" s="40" t="n"/>
      <c r="J236" s="40" t="n"/>
      <c r="K236" s="40" t="n"/>
      <c r="L236" s="41" t="n"/>
      <c r="M236" s="42">
        <f>IF(OR($C236="",$E236="",$H236="",$K236="Cancelada"),"",IF(COUNTIFS($A$5:$A$504,$A236,$H$5:$H$504,$H236,$K$5:$K$504,"&lt;&gt;Cancelada",$C$5:$C$504,"&lt;"&amp;$E236,$E$5:$E$504,"&gt;"&amp;$C236)&gt;1,"Se solapa con otra actividad en esta sala",""))</f>
        <v/>
      </c>
    </row>
    <row r="237" ht="21" customHeight="1">
      <c r="A237" s="35" t="n"/>
      <c r="B237" s="36" t="n"/>
      <c r="C237" s="37">
        <f>IF($A237="","",IF($B237&lt;&gt;"",$B237,IF($A237=$A236,$E236,Configuración!$C$5)))</f>
        <v/>
      </c>
      <c r="D237" s="38" t="n"/>
      <c r="E237" s="37">
        <f>IF(OR($C237="",$D237=""),"",$C237+$D237/1440)</f>
        <v/>
      </c>
      <c r="F237" s="39" t="n"/>
      <c r="G237" s="40" t="n"/>
      <c r="H237" s="40" t="n"/>
      <c r="I237" s="40" t="n"/>
      <c r="J237" s="40" t="n"/>
      <c r="K237" s="40" t="n"/>
      <c r="L237" s="41" t="n"/>
      <c r="M237" s="42">
        <f>IF(OR($C237="",$E237="",$H237="",$K237="Cancelada"),"",IF(COUNTIFS($A$5:$A$504,$A237,$H$5:$H$504,$H237,$K$5:$K$504,"&lt;&gt;Cancelada",$C$5:$C$504,"&lt;"&amp;$E237,$E$5:$E$504,"&gt;"&amp;$C237)&gt;1,"Se solapa con otra actividad en esta sala",""))</f>
        <v/>
      </c>
    </row>
    <row r="238" ht="21" customHeight="1">
      <c r="A238" s="35" t="n"/>
      <c r="B238" s="36" t="n"/>
      <c r="C238" s="37">
        <f>IF($A238="","",IF($B238&lt;&gt;"",$B238,IF($A238=$A237,$E237,Configuración!$C$5)))</f>
        <v/>
      </c>
      <c r="D238" s="38" t="n"/>
      <c r="E238" s="37">
        <f>IF(OR($C238="",$D238=""),"",$C238+$D238/1440)</f>
        <v/>
      </c>
      <c r="F238" s="39" t="n"/>
      <c r="G238" s="40" t="n"/>
      <c r="H238" s="40" t="n"/>
      <c r="I238" s="40" t="n"/>
      <c r="J238" s="40" t="n"/>
      <c r="K238" s="40" t="n"/>
      <c r="L238" s="41" t="n"/>
      <c r="M238" s="42">
        <f>IF(OR($C238="",$E238="",$H238="",$K238="Cancelada"),"",IF(COUNTIFS($A$5:$A$504,$A238,$H$5:$H$504,$H238,$K$5:$K$504,"&lt;&gt;Cancelada",$C$5:$C$504,"&lt;"&amp;$E238,$E$5:$E$504,"&gt;"&amp;$C238)&gt;1,"Se solapa con otra actividad en esta sala",""))</f>
        <v/>
      </c>
    </row>
    <row r="239" ht="21" customHeight="1">
      <c r="A239" s="35" t="n"/>
      <c r="B239" s="36" t="n"/>
      <c r="C239" s="37">
        <f>IF($A239="","",IF($B239&lt;&gt;"",$B239,IF($A239=$A238,$E238,Configuración!$C$5)))</f>
        <v/>
      </c>
      <c r="D239" s="38" t="n"/>
      <c r="E239" s="37">
        <f>IF(OR($C239="",$D239=""),"",$C239+$D239/1440)</f>
        <v/>
      </c>
      <c r="F239" s="39" t="n"/>
      <c r="G239" s="40" t="n"/>
      <c r="H239" s="40" t="n"/>
      <c r="I239" s="40" t="n"/>
      <c r="J239" s="40" t="n"/>
      <c r="K239" s="40" t="n"/>
      <c r="L239" s="41" t="n"/>
      <c r="M239" s="42">
        <f>IF(OR($C239="",$E239="",$H239="",$K239="Cancelada"),"",IF(COUNTIFS($A$5:$A$504,$A239,$H$5:$H$504,$H239,$K$5:$K$504,"&lt;&gt;Cancelada",$C$5:$C$504,"&lt;"&amp;$E239,$E$5:$E$504,"&gt;"&amp;$C239)&gt;1,"Se solapa con otra actividad en esta sala",""))</f>
        <v/>
      </c>
    </row>
    <row r="240" ht="21" customHeight="1">
      <c r="A240" s="35" t="n"/>
      <c r="B240" s="36" t="n"/>
      <c r="C240" s="37">
        <f>IF($A240="","",IF($B240&lt;&gt;"",$B240,IF($A240=$A239,$E239,Configuración!$C$5)))</f>
        <v/>
      </c>
      <c r="D240" s="38" t="n"/>
      <c r="E240" s="37">
        <f>IF(OR($C240="",$D240=""),"",$C240+$D240/1440)</f>
        <v/>
      </c>
      <c r="F240" s="39" t="n"/>
      <c r="G240" s="40" t="n"/>
      <c r="H240" s="40" t="n"/>
      <c r="I240" s="40" t="n"/>
      <c r="J240" s="40" t="n"/>
      <c r="K240" s="40" t="n"/>
      <c r="L240" s="41" t="n"/>
      <c r="M240" s="42">
        <f>IF(OR($C240="",$E240="",$H240="",$K240="Cancelada"),"",IF(COUNTIFS($A$5:$A$504,$A240,$H$5:$H$504,$H240,$K$5:$K$504,"&lt;&gt;Cancelada",$C$5:$C$504,"&lt;"&amp;$E240,$E$5:$E$504,"&gt;"&amp;$C240)&gt;1,"Se solapa con otra actividad en esta sala",""))</f>
        <v/>
      </c>
    </row>
    <row r="241" ht="21" customHeight="1">
      <c r="A241" s="35" t="n"/>
      <c r="B241" s="36" t="n"/>
      <c r="C241" s="37">
        <f>IF($A241="","",IF($B241&lt;&gt;"",$B241,IF($A241=$A240,$E240,Configuración!$C$5)))</f>
        <v/>
      </c>
      <c r="D241" s="38" t="n"/>
      <c r="E241" s="37">
        <f>IF(OR($C241="",$D241=""),"",$C241+$D241/1440)</f>
        <v/>
      </c>
      <c r="F241" s="39" t="n"/>
      <c r="G241" s="40" t="n"/>
      <c r="H241" s="40" t="n"/>
      <c r="I241" s="40" t="n"/>
      <c r="J241" s="40" t="n"/>
      <c r="K241" s="40" t="n"/>
      <c r="L241" s="41" t="n"/>
      <c r="M241" s="42">
        <f>IF(OR($C241="",$E241="",$H241="",$K241="Cancelada"),"",IF(COUNTIFS($A$5:$A$504,$A241,$H$5:$H$504,$H241,$K$5:$K$504,"&lt;&gt;Cancelada",$C$5:$C$504,"&lt;"&amp;$E241,$E$5:$E$504,"&gt;"&amp;$C241)&gt;1,"Se solapa con otra actividad en esta sala",""))</f>
        <v/>
      </c>
    </row>
    <row r="242" ht="21" customHeight="1">
      <c r="A242" s="35" t="n"/>
      <c r="B242" s="36" t="n"/>
      <c r="C242" s="37">
        <f>IF($A242="","",IF($B242&lt;&gt;"",$B242,IF($A242=$A241,$E241,Configuración!$C$5)))</f>
        <v/>
      </c>
      <c r="D242" s="38" t="n"/>
      <c r="E242" s="37">
        <f>IF(OR($C242="",$D242=""),"",$C242+$D242/1440)</f>
        <v/>
      </c>
      <c r="F242" s="39" t="n"/>
      <c r="G242" s="40" t="n"/>
      <c r="H242" s="40" t="n"/>
      <c r="I242" s="40" t="n"/>
      <c r="J242" s="40" t="n"/>
      <c r="K242" s="40" t="n"/>
      <c r="L242" s="41" t="n"/>
      <c r="M242" s="42">
        <f>IF(OR($C242="",$E242="",$H242="",$K242="Cancelada"),"",IF(COUNTIFS($A$5:$A$504,$A242,$H$5:$H$504,$H242,$K$5:$K$504,"&lt;&gt;Cancelada",$C$5:$C$504,"&lt;"&amp;$E242,$E$5:$E$504,"&gt;"&amp;$C242)&gt;1,"Se solapa con otra actividad en esta sala",""))</f>
        <v/>
      </c>
    </row>
    <row r="243" ht="21" customHeight="1">
      <c r="A243" s="35" t="n"/>
      <c r="B243" s="36" t="n"/>
      <c r="C243" s="37">
        <f>IF($A243="","",IF($B243&lt;&gt;"",$B243,IF($A243=$A242,$E242,Configuración!$C$5)))</f>
        <v/>
      </c>
      <c r="D243" s="38" t="n"/>
      <c r="E243" s="37">
        <f>IF(OR($C243="",$D243=""),"",$C243+$D243/1440)</f>
        <v/>
      </c>
      <c r="F243" s="39" t="n"/>
      <c r="G243" s="40" t="n"/>
      <c r="H243" s="40" t="n"/>
      <c r="I243" s="40" t="n"/>
      <c r="J243" s="40" t="n"/>
      <c r="K243" s="40" t="n"/>
      <c r="L243" s="41" t="n"/>
      <c r="M243" s="42">
        <f>IF(OR($C243="",$E243="",$H243="",$K243="Cancelada"),"",IF(COUNTIFS($A$5:$A$504,$A243,$H$5:$H$504,$H243,$K$5:$K$504,"&lt;&gt;Cancelada",$C$5:$C$504,"&lt;"&amp;$E243,$E$5:$E$504,"&gt;"&amp;$C243)&gt;1,"Se solapa con otra actividad en esta sala",""))</f>
        <v/>
      </c>
    </row>
    <row r="244" ht="21" customHeight="1">
      <c r="A244" s="35" t="n"/>
      <c r="B244" s="36" t="n"/>
      <c r="C244" s="37">
        <f>IF($A244="","",IF($B244&lt;&gt;"",$B244,IF($A244=$A243,$E243,Configuración!$C$5)))</f>
        <v/>
      </c>
      <c r="D244" s="38" t="n"/>
      <c r="E244" s="37">
        <f>IF(OR($C244="",$D244=""),"",$C244+$D244/1440)</f>
        <v/>
      </c>
      <c r="F244" s="39" t="n"/>
      <c r="G244" s="40" t="n"/>
      <c r="H244" s="40" t="n"/>
      <c r="I244" s="40" t="n"/>
      <c r="J244" s="40" t="n"/>
      <c r="K244" s="40" t="n"/>
      <c r="L244" s="41" t="n"/>
      <c r="M244" s="42">
        <f>IF(OR($C244="",$E244="",$H244="",$K244="Cancelada"),"",IF(COUNTIFS($A$5:$A$504,$A244,$H$5:$H$504,$H244,$K$5:$K$504,"&lt;&gt;Cancelada",$C$5:$C$504,"&lt;"&amp;$E244,$E$5:$E$504,"&gt;"&amp;$C244)&gt;1,"Se solapa con otra actividad en esta sala",""))</f>
        <v/>
      </c>
    </row>
    <row r="245" ht="21" customHeight="1">
      <c r="A245" s="35" t="n"/>
      <c r="B245" s="36" t="n"/>
      <c r="C245" s="37">
        <f>IF($A245="","",IF($B245&lt;&gt;"",$B245,IF($A245=$A244,$E244,Configuración!$C$5)))</f>
        <v/>
      </c>
      <c r="D245" s="38" t="n"/>
      <c r="E245" s="37">
        <f>IF(OR($C245="",$D245=""),"",$C245+$D245/1440)</f>
        <v/>
      </c>
      <c r="F245" s="39" t="n"/>
      <c r="G245" s="40" t="n"/>
      <c r="H245" s="40" t="n"/>
      <c r="I245" s="40" t="n"/>
      <c r="J245" s="40" t="n"/>
      <c r="K245" s="40" t="n"/>
      <c r="L245" s="41" t="n"/>
      <c r="M245" s="42">
        <f>IF(OR($C245="",$E245="",$H245="",$K245="Cancelada"),"",IF(COUNTIFS($A$5:$A$504,$A245,$H$5:$H$504,$H245,$K$5:$K$504,"&lt;&gt;Cancelada",$C$5:$C$504,"&lt;"&amp;$E245,$E$5:$E$504,"&gt;"&amp;$C245)&gt;1,"Se solapa con otra actividad en esta sala",""))</f>
        <v/>
      </c>
    </row>
    <row r="246" ht="21" customHeight="1">
      <c r="A246" s="35" t="n"/>
      <c r="B246" s="36" t="n"/>
      <c r="C246" s="37">
        <f>IF($A246="","",IF($B246&lt;&gt;"",$B246,IF($A246=$A245,$E245,Configuración!$C$5)))</f>
        <v/>
      </c>
      <c r="D246" s="38" t="n"/>
      <c r="E246" s="37">
        <f>IF(OR($C246="",$D246=""),"",$C246+$D246/1440)</f>
        <v/>
      </c>
      <c r="F246" s="39" t="n"/>
      <c r="G246" s="40" t="n"/>
      <c r="H246" s="40" t="n"/>
      <c r="I246" s="40" t="n"/>
      <c r="J246" s="40" t="n"/>
      <c r="K246" s="40" t="n"/>
      <c r="L246" s="41" t="n"/>
      <c r="M246" s="42">
        <f>IF(OR($C246="",$E246="",$H246="",$K246="Cancelada"),"",IF(COUNTIFS($A$5:$A$504,$A246,$H$5:$H$504,$H246,$K$5:$K$504,"&lt;&gt;Cancelada",$C$5:$C$504,"&lt;"&amp;$E246,$E$5:$E$504,"&gt;"&amp;$C246)&gt;1,"Se solapa con otra actividad en esta sala",""))</f>
        <v/>
      </c>
    </row>
    <row r="247" ht="21" customHeight="1">
      <c r="A247" s="35" t="n"/>
      <c r="B247" s="36" t="n"/>
      <c r="C247" s="37">
        <f>IF($A247="","",IF($B247&lt;&gt;"",$B247,IF($A247=$A246,$E246,Configuración!$C$5)))</f>
        <v/>
      </c>
      <c r="D247" s="38" t="n"/>
      <c r="E247" s="37">
        <f>IF(OR($C247="",$D247=""),"",$C247+$D247/1440)</f>
        <v/>
      </c>
      <c r="F247" s="39" t="n"/>
      <c r="G247" s="40" t="n"/>
      <c r="H247" s="40" t="n"/>
      <c r="I247" s="40" t="n"/>
      <c r="J247" s="40" t="n"/>
      <c r="K247" s="40" t="n"/>
      <c r="L247" s="41" t="n"/>
      <c r="M247" s="42">
        <f>IF(OR($C247="",$E247="",$H247="",$K247="Cancelada"),"",IF(COUNTIFS($A$5:$A$504,$A247,$H$5:$H$504,$H247,$K$5:$K$504,"&lt;&gt;Cancelada",$C$5:$C$504,"&lt;"&amp;$E247,$E$5:$E$504,"&gt;"&amp;$C247)&gt;1,"Se solapa con otra actividad en esta sala",""))</f>
        <v/>
      </c>
    </row>
    <row r="248" ht="21" customHeight="1">
      <c r="A248" s="35" t="n"/>
      <c r="B248" s="36" t="n"/>
      <c r="C248" s="37">
        <f>IF($A248="","",IF($B248&lt;&gt;"",$B248,IF($A248=$A247,$E247,Configuración!$C$5)))</f>
        <v/>
      </c>
      <c r="D248" s="38" t="n"/>
      <c r="E248" s="37">
        <f>IF(OR($C248="",$D248=""),"",$C248+$D248/1440)</f>
        <v/>
      </c>
      <c r="F248" s="39" t="n"/>
      <c r="G248" s="40" t="n"/>
      <c r="H248" s="40" t="n"/>
      <c r="I248" s="40" t="n"/>
      <c r="J248" s="40" t="n"/>
      <c r="K248" s="40" t="n"/>
      <c r="L248" s="41" t="n"/>
      <c r="M248" s="42">
        <f>IF(OR($C248="",$E248="",$H248="",$K248="Cancelada"),"",IF(COUNTIFS($A$5:$A$504,$A248,$H$5:$H$504,$H248,$K$5:$K$504,"&lt;&gt;Cancelada",$C$5:$C$504,"&lt;"&amp;$E248,$E$5:$E$504,"&gt;"&amp;$C248)&gt;1,"Se solapa con otra actividad en esta sala",""))</f>
        <v/>
      </c>
    </row>
    <row r="249" ht="21" customHeight="1">
      <c r="A249" s="35" t="n"/>
      <c r="B249" s="36" t="n"/>
      <c r="C249" s="37">
        <f>IF($A249="","",IF($B249&lt;&gt;"",$B249,IF($A249=$A248,$E248,Configuración!$C$5)))</f>
        <v/>
      </c>
      <c r="D249" s="38" t="n"/>
      <c r="E249" s="37">
        <f>IF(OR($C249="",$D249=""),"",$C249+$D249/1440)</f>
        <v/>
      </c>
      <c r="F249" s="39" t="n"/>
      <c r="G249" s="40" t="n"/>
      <c r="H249" s="40" t="n"/>
      <c r="I249" s="40" t="n"/>
      <c r="J249" s="40" t="n"/>
      <c r="K249" s="40" t="n"/>
      <c r="L249" s="41" t="n"/>
      <c r="M249" s="42">
        <f>IF(OR($C249="",$E249="",$H249="",$K249="Cancelada"),"",IF(COUNTIFS($A$5:$A$504,$A249,$H$5:$H$504,$H249,$K$5:$K$504,"&lt;&gt;Cancelada",$C$5:$C$504,"&lt;"&amp;$E249,$E$5:$E$504,"&gt;"&amp;$C249)&gt;1,"Se solapa con otra actividad en esta sala",""))</f>
        <v/>
      </c>
    </row>
    <row r="250" ht="21" customHeight="1">
      <c r="A250" s="35" t="n"/>
      <c r="B250" s="36" t="n"/>
      <c r="C250" s="37">
        <f>IF($A250="","",IF($B250&lt;&gt;"",$B250,IF($A250=$A249,$E249,Configuración!$C$5)))</f>
        <v/>
      </c>
      <c r="D250" s="38" t="n"/>
      <c r="E250" s="37">
        <f>IF(OR($C250="",$D250=""),"",$C250+$D250/1440)</f>
        <v/>
      </c>
      <c r="F250" s="39" t="n"/>
      <c r="G250" s="40" t="n"/>
      <c r="H250" s="40" t="n"/>
      <c r="I250" s="40" t="n"/>
      <c r="J250" s="40" t="n"/>
      <c r="K250" s="40" t="n"/>
      <c r="L250" s="41" t="n"/>
      <c r="M250" s="42">
        <f>IF(OR($C250="",$E250="",$H250="",$K250="Cancelada"),"",IF(COUNTIFS($A$5:$A$504,$A250,$H$5:$H$504,$H250,$K$5:$K$504,"&lt;&gt;Cancelada",$C$5:$C$504,"&lt;"&amp;$E250,$E$5:$E$504,"&gt;"&amp;$C250)&gt;1,"Se solapa con otra actividad en esta sala",""))</f>
        <v/>
      </c>
    </row>
    <row r="251" ht="21" customHeight="1">
      <c r="A251" s="35" t="n"/>
      <c r="B251" s="36" t="n"/>
      <c r="C251" s="37">
        <f>IF($A251="","",IF($B251&lt;&gt;"",$B251,IF($A251=$A250,$E250,Configuración!$C$5)))</f>
        <v/>
      </c>
      <c r="D251" s="38" t="n"/>
      <c r="E251" s="37">
        <f>IF(OR($C251="",$D251=""),"",$C251+$D251/1440)</f>
        <v/>
      </c>
      <c r="F251" s="39" t="n"/>
      <c r="G251" s="40" t="n"/>
      <c r="H251" s="40" t="n"/>
      <c r="I251" s="40" t="n"/>
      <c r="J251" s="40" t="n"/>
      <c r="K251" s="40" t="n"/>
      <c r="L251" s="41" t="n"/>
      <c r="M251" s="42">
        <f>IF(OR($C251="",$E251="",$H251="",$K251="Cancelada"),"",IF(COUNTIFS($A$5:$A$504,$A251,$H$5:$H$504,$H251,$K$5:$K$504,"&lt;&gt;Cancelada",$C$5:$C$504,"&lt;"&amp;$E251,$E$5:$E$504,"&gt;"&amp;$C251)&gt;1,"Se solapa con otra actividad en esta sala",""))</f>
        <v/>
      </c>
    </row>
    <row r="252" ht="21" customHeight="1">
      <c r="A252" s="35" t="n"/>
      <c r="B252" s="36" t="n"/>
      <c r="C252" s="37">
        <f>IF($A252="","",IF($B252&lt;&gt;"",$B252,IF($A252=$A251,$E251,Configuración!$C$5)))</f>
        <v/>
      </c>
      <c r="D252" s="38" t="n"/>
      <c r="E252" s="37">
        <f>IF(OR($C252="",$D252=""),"",$C252+$D252/1440)</f>
        <v/>
      </c>
      <c r="F252" s="39" t="n"/>
      <c r="G252" s="40" t="n"/>
      <c r="H252" s="40" t="n"/>
      <c r="I252" s="40" t="n"/>
      <c r="J252" s="40" t="n"/>
      <c r="K252" s="40" t="n"/>
      <c r="L252" s="41" t="n"/>
      <c r="M252" s="42">
        <f>IF(OR($C252="",$E252="",$H252="",$K252="Cancelada"),"",IF(COUNTIFS($A$5:$A$504,$A252,$H$5:$H$504,$H252,$K$5:$K$504,"&lt;&gt;Cancelada",$C$5:$C$504,"&lt;"&amp;$E252,$E$5:$E$504,"&gt;"&amp;$C252)&gt;1,"Se solapa con otra actividad en esta sala",""))</f>
        <v/>
      </c>
    </row>
    <row r="253" ht="21" customHeight="1">
      <c r="A253" s="35" t="n"/>
      <c r="B253" s="36" t="n"/>
      <c r="C253" s="37">
        <f>IF($A253="","",IF($B253&lt;&gt;"",$B253,IF($A253=$A252,$E252,Configuración!$C$5)))</f>
        <v/>
      </c>
      <c r="D253" s="38" t="n"/>
      <c r="E253" s="37">
        <f>IF(OR($C253="",$D253=""),"",$C253+$D253/1440)</f>
        <v/>
      </c>
      <c r="F253" s="39" t="n"/>
      <c r="G253" s="40" t="n"/>
      <c r="H253" s="40" t="n"/>
      <c r="I253" s="40" t="n"/>
      <c r="J253" s="40" t="n"/>
      <c r="K253" s="40" t="n"/>
      <c r="L253" s="41" t="n"/>
      <c r="M253" s="42">
        <f>IF(OR($C253="",$E253="",$H253="",$K253="Cancelada"),"",IF(COUNTIFS($A$5:$A$504,$A253,$H$5:$H$504,$H253,$K$5:$K$504,"&lt;&gt;Cancelada",$C$5:$C$504,"&lt;"&amp;$E253,$E$5:$E$504,"&gt;"&amp;$C253)&gt;1,"Se solapa con otra actividad en esta sala",""))</f>
        <v/>
      </c>
    </row>
    <row r="254" ht="21" customHeight="1">
      <c r="A254" s="35" t="n"/>
      <c r="B254" s="36" t="n"/>
      <c r="C254" s="37">
        <f>IF($A254="","",IF($B254&lt;&gt;"",$B254,IF($A254=$A253,$E253,Configuración!$C$5)))</f>
        <v/>
      </c>
      <c r="D254" s="38" t="n"/>
      <c r="E254" s="37">
        <f>IF(OR($C254="",$D254=""),"",$C254+$D254/1440)</f>
        <v/>
      </c>
      <c r="F254" s="39" t="n"/>
      <c r="G254" s="40" t="n"/>
      <c r="H254" s="40" t="n"/>
      <c r="I254" s="40" t="n"/>
      <c r="J254" s="40" t="n"/>
      <c r="K254" s="40" t="n"/>
      <c r="L254" s="41" t="n"/>
      <c r="M254" s="42">
        <f>IF(OR($C254="",$E254="",$H254="",$K254="Cancelada"),"",IF(COUNTIFS($A$5:$A$504,$A254,$H$5:$H$504,$H254,$K$5:$K$504,"&lt;&gt;Cancelada",$C$5:$C$504,"&lt;"&amp;$E254,$E$5:$E$504,"&gt;"&amp;$C254)&gt;1,"Se solapa con otra actividad en esta sala",""))</f>
        <v/>
      </c>
    </row>
    <row r="255" ht="21" customHeight="1">
      <c r="A255" s="35" t="n"/>
      <c r="B255" s="36" t="n"/>
      <c r="C255" s="37">
        <f>IF($A255="","",IF($B255&lt;&gt;"",$B255,IF($A255=$A254,$E254,Configuración!$C$5)))</f>
        <v/>
      </c>
      <c r="D255" s="38" t="n"/>
      <c r="E255" s="37">
        <f>IF(OR($C255="",$D255=""),"",$C255+$D255/1440)</f>
        <v/>
      </c>
      <c r="F255" s="39" t="n"/>
      <c r="G255" s="40" t="n"/>
      <c r="H255" s="40" t="n"/>
      <c r="I255" s="40" t="n"/>
      <c r="J255" s="40" t="n"/>
      <c r="K255" s="40" t="n"/>
      <c r="L255" s="41" t="n"/>
      <c r="M255" s="42">
        <f>IF(OR($C255="",$E255="",$H255="",$K255="Cancelada"),"",IF(COUNTIFS($A$5:$A$504,$A255,$H$5:$H$504,$H255,$K$5:$K$504,"&lt;&gt;Cancelada",$C$5:$C$504,"&lt;"&amp;$E255,$E$5:$E$504,"&gt;"&amp;$C255)&gt;1,"Se solapa con otra actividad en esta sala",""))</f>
        <v/>
      </c>
    </row>
    <row r="256" ht="21" customHeight="1">
      <c r="A256" s="35" t="n"/>
      <c r="B256" s="36" t="n"/>
      <c r="C256" s="37">
        <f>IF($A256="","",IF($B256&lt;&gt;"",$B256,IF($A256=$A255,$E255,Configuración!$C$5)))</f>
        <v/>
      </c>
      <c r="D256" s="38" t="n"/>
      <c r="E256" s="37">
        <f>IF(OR($C256="",$D256=""),"",$C256+$D256/1440)</f>
        <v/>
      </c>
      <c r="F256" s="39" t="n"/>
      <c r="G256" s="40" t="n"/>
      <c r="H256" s="40" t="n"/>
      <c r="I256" s="40" t="n"/>
      <c r="J256" s="40" t="n"/>
      <c r="K256" s="40" t="n"/>
      <c r="L256" s="41" t="n"/>
      <c r="M256" s="42">
        <f>IF(OR($C256="",$E256="",$H256="",$K256="Cancelada"),"",IF(COUNTIFS($A$5:$A$504,$A256,$H$5:$H$504,$H256,$K$5:$K$504,"&lt;&gt;Cancelada",$C$5:$C$504,"&lt;"&amp;$E256,$E$5:$E$504,"&gt;"&amp;$C256)&gt;1,"Se solapa con otra actividad en esta sala",""))</f>
        <v/>
      </c>
    </row>
    <row r="257" ht="21" customHeight="1">
      <c r="A257" s="35" t="n"/>
      <c r="B257" s="36" t="n"/>
      <c r="C257" s="37">
        <f>IF($A257="","",IF($B257&lt;&gt;"",$B257,IF($A257=$A256,$E256,Configuración!$C$5)))</f>
        <v/>
      </c>
      <c r="D257" s="38" t="n"/>
      <c r="E257" s="37">
        <f>IF(OR($C257="",$D257=""),"",$C257+$D257/1440)</f>
        <v/>
      </c>
      <c r="F257" s="39" t="n"/>
      <c r="G257" s="40" t="n"/>
      <c r="H257" s="40" t="n"/>
      <c r="I257" s="40" t="n"/>
      <c r="J257" s="40" t="n"/>
      <c r="K257" s="40" t="n"/>
      <c r="L257" s="41" t="n"/>
      <c r="M257" s="42">
        <f>IF(OR($C257="",$E257="",$H257="",$K257="Cancelada"),"",IF(COUNTIFS($A$5:$A$504,$A257,$H$5:$H$504,$H257,$K$5:$K$504,"&lt;&gt;Cancelada",$C$5:$C$504,"&lt;"&amp;$E257,$E$5:$E$504,"&gt;"&amp;$C257)&gt;1,"Se solapa con otra actividad en esta sala",""))</f>
        <v/>
      </c>
    </row>
    <row r="258" ht="21" customHeight="1">
      <c r="A258" s="35" t="n"/>
      <c r="B258" s="36" t="n"/>
      <c r="C258" s="37">
        <f>IF($A258="","",IF($B258&lt;&gt;"",$B258,IF($A258=$A257,$E257,Configuración!$C$5)))</f>
        <v/>
      </c>
      <c r="D258" s="38" t="n"/>
      <c r="E258" s="37">
        <f>IF(OR($C258="",$D258=""),"",$C258+$D258/1440)</f>
        <v/>
      </c>
      <c r="F258" s="39" t="n"/>
      <c r="G258" s="40" t="n"/>
      <c r="H258" s="40" t="n"/>
      <c r="I258" s="40" t="n"/>
      <c r="J258" s="40" t="n"/>
      <c r="K258" s="40" t="n"/>
      <c r="L258" s="41" t="n"/>
      <c r="M258" s="42">
        <f>IF(OR($C258="",$E258="",$H258="",$K258="Cancelada"),"",IF(COUNTIFS($A$5:$A$504,$A258,$H$5:$H$504,$H258,$K$5:$K$504,"&lt;&gt;Cancelada",$C$5:$C$504,"&lt;"&amp;$E258,$E$5:$E$504,"&gt;"&amp;$C258)&gt;1,"Se solapa con otra actividad en esta sala",""))</f>
        <v/>
      </c>
    </row>
    <row r="259" ht="21" customHeight="1">
      <c r="A259" s="35" t="n"/>
      <c r="B259" s="36" t="n"/>
      <c r="C259" s="37">
        <f>IF($A259="","",IF($B259&lt;&gt;"",$B259,IF($A259=$A258,$E258,Configuración!$C$5)))</f>
        <v/>
      </c>
      <c r="D259" s="38" t="n"/>
      <c r="E259" s="37">
        <f>IF(OR($C259="",$D259=""),"",$C259+$D259/1440)</f>
        <v/>
      </c>
      <c r="F259" s="39" t="n"/>
      <c r="G259" s="40" t="n"/>
      <c r="H259" s="40" t="n"/>
      <c r="I259" s="40" t="n"/>
      <c r="J259" s="40" t="n"/>
      <c r="K259" s="40" t="n"/>
      <c r="L259" s="41" t="n"/>
      <c r="M259" s="42">
        <f>IF(OR($C259="",$E259="",$H259="",$K259="Cancelada"),"",IF(COUNTIFS($A$5:$A$504,$A259,$H$5:$H$504,$H259,$K$5:$K$504,"&lt;&gt;Cancelada",$C$5:$C$504,"&lt;"&amp;$E259,$E$5:$E$504,"&gt;"&amp;$C259)&gt;1,"Se solapa con otra actividad en esta sala",""))</f>
        <v/>
      </c>
    </row>
    <row r="260" ht="21" customHeight="1">
      <c r="A260" s="35" t="n"/>
      <c r="B260" s="36" t="n"/>
      <c r="C260" s="37">
        <f>IF($A260="","",IF($B260&lt;&gt;"",$B260,IF($A260=$A259,$E259,Configuración!$C$5)))</f>
        <v/>
      </c>
      <c r="D260" s="38" t="n"/>
      <c r="E260" s="37">
        <f>IF(OR($C260="",$D260=""),"",$C260+$D260/1440)</f>
        <v/>
      </c>
      <c r="F260" s="39" t="n"/>
      <c r="G260" s="40" t="n"/>
      <c r="H260" s="40" t="n"/>
      <c r="I260" s="40" t="n"/>
      <c r="J260" s="40" t="n"/>
      <c r="K260" s="40" t="n"/>
      <c r="L260" s="41" t="n"/>
      <c r="M260" s="42">
        <f>IF(OR($C260="",$E260="",$H260="",$K260="Cancelada"),"",IF(COUNTIFS($A$5:$A$504,$A260,$H$5:$H$504,$H260,$K$5:$K$504,"&lt;&gt;Cancelada",$C$5:$C$504,"&lt;"&amp;$E260,$E$5:$E$504,"&gt;"&amp;$C260)&gt;1,"Se solapa con otra actividad en esta sala",""))</f>
        <v/>
      </c>
    </row>
    <row r="261" ht="21" customHeight="1">
      <c r="A261" s="35" t="n"/>
      <c r="B261" s="36" t="n"/>
      <c r="C261" s="37">
        <f>IF($A261="","",IF($B261&lt;&gt;"",$B261,IF($A261=$A260,$E260,Configuración!$C$5)))</f>
        <v/>
      </c>
      <c r="D261" s="38" t="n"/>
      <c r="E261" s="37">
        <f>IF(OR($C261="",$D261=""),"",$C261+$D261/1440)</f>
        <v/>
      </c>
      <c r="F261" s="39" t="n"/>
      <c r="G261" s="40" t="n"/>
      <c r="H261" s="40" t="n"/>
      <c r="I261" s="40" t="n"/>
      <c r="J261" s="40" t="n"/>
      <c r="K261" s="40" t="n"/>
      <c r="L261" s="41" t="n"/>
      <c r="M261" s="42">
        <f>IF(OR($C261="",$E261="",$H261="",$K261="Cancelada"),"",IF(COUNTIFS($A$5:$A$504,$A261,$H$5:$H$504,$H261,$K$5:$K$504,"&lt;&gt;Cancelada",$C$5:$C$504,"&lt;"&amp;$E261,$E$5:$E$504,"&gt;"&amp;$C261)&gt;1,"Se solapa con otra actividad en esta sala",""))</f>
        <v/>
      </c>
    </row>
    <row r="262" ht="21" customHeight="1">
      <c r="A262" s="35" t="n"/>
      <c r="B262" s="36" t="n"/>
      <c r="C262" s="37">
        <f>IF($A262="","",IF($B262&lt;&gt;"",$B262,IF($A262=$A261,$E261,Configuración!$C$5)))</f>
        <v/>
      </c>
      <c r="D262" s="38" t="n"/>
      <c r="E262" s="37">
        <f>IF(OR($C262="",$D262=""),"",$C262+$D262/1440)</f>
        <v/>
      </c>
      <c r="F262" s="39" t="n"/>
      <c r="G262" s="40" t="n"/>
      <c r="H262" s="40" t="n"/>
      <c r="I262" s="40" t="n"/>
      <c r="J262" s="40" t="n"/>
      <c r="K262" s="40" t="n"/>
      <c r="L262" s="41" t="n"/>
      <c r="M262" s="42">
        <f>IF(OR($C262="",$E262="",$H262="",$K262="Cancelada"),"",IF(COUNTIFS($A$5:$A$504,$A262,$H$5:$H$504,$H262,$K$5:$K$504,"&lt;&gt;Cancelada",$C$5:$C$504,"&lt;"&amp;$E262,$E$5:$E$504,"&gt;"&amp;$C262)&gt;1,"Se solapa con otra actividad en esta sala",""))</f>
        <v/>
      </c>
    </row>
    <row r="263" ht="21" customHeight="1">
      <c r="A263" s="35" t="n"/>
      <c r="B263" s="36" t="n"/>
      <c r="C263" s="37">
        <f>IF($A263="","",IF($B263&lt;&gt;"",$B263,IF($A263=$A262,$E262,Configuración!$C$5)))</f>
        <v/>
      </c>
      <c r="D263" s="38" t="n"/>
      <c r="E263" s="37">
        <f>IF(OR($C263="",$D263=""),"",$C263+$D263/1440)</f>
        <v/>
      </c>
      <c r="F263" s="39" t="n"/>
      <c r="G263" s="40" t="n"/>
      <c r="H263" s="40" t="n"/>
      <c r="I263" s="40" t="n"/>
      <c r="J263" s="40" t="n"/>
      <c r="K263" s="40" t="n"/>
      <c r="L263" s="41" t="n"/>
      <c r="M263" s="42">
        <f>IF(OR($C263="",$E263="",$H263="",$K263="Cancelada"),"",IF(COUNTIFS($A$5:$A$504,$A263,$H$5:$H$504,$H263,$K$5:$K$504,"&lt;&gt;Cancelada",$C$5:$C$504,"&lt;"&amp;$E263,$E$5:$E$504,"&gt;"&amp;$C263)&gt;1,"Se solapa con otra actividad en esta sala",""))</f>
        <v/>
      </c>
    </row>
    <row r="264" ht="21" customHeight="1">
      <c r="A264" s="35" t="n"/>
      <c r="B264" s="36" t="n"/>
      <c r="C264" s="37">
        <f>IF($A264="","",IF($B264&lt;&gt;"",$B264,IF($A264=$A263,$E263,Configuración!$C$5)))</f>
        <v/>
      </c>
      <c r="D264" s="38" t="n"/>
      <c r="E264" s="37">
        <f>IF(OR($C264="",$D264=""),"",$C264+$D264/1440)</f>
        <v/>
      </c>
      <c r="F264" s="39" t="n"/>
      <c r="G264" s="40" t="n"/>
      <c r="H264" s="40" t="n"/>
      <c r="I264" s="40" t="n"/>
      <c r="J264" s="40" t="n"/>
      <c r="K264" s="40" t="n"/>
      <c r="L264" s="41" t="n"/>
      <c r="M264" s="42">
        <f>IF(OR($C264="",$E264="",$H264="",$K264="Cancelada"),"",IF(COUNTIFS($A$5:$A$504,$A264,$H$5:$H$504,$H264,$K$5:$K$504,"&lt;&gt;Cancelada",$C$5:$C$504,"&lt;"&amp;$E264,$E$5:$E$504,"&gt;"&amp;$C264)&gt;1,"Se solapa con otra actividad en esta sala",""))</f>
        <v/>
      </c>
    </row>
    <row r="265" ht="21" customHeight="1">
      <c r="A265" s="35" t="n"/>
      <c r="B265" s="36" t="n"/>
      <c r="C265" s="37">
        <f>IF($A265="","",IF($B265&lt;&gt;"",$B265,IF($A265=$A264,$E264,Configuración!$C$5)))</f>
        <v/>
      </c>
      <c r="D265" s="38" t="n"/>
      <c r="E265" s="37">
        <f>IF(OR($C265="",$D265=""),"",$C265+$D265/1440)</f>
        <v/>
      </c>
      <c r="F265" s="39" t="n"/>
      <c r="G265" s="40" t="n"/>
      <c r="H265" s="40" t="n"/>
      <c r="I265" s="40" t="n"/>
      <c r="J265" s="40" t="n"/>
      <c r="K265" s="40" t="n"/>
      <c r="L265" s="41" t="n"/>
      <c r="M265" s="42">
        <f>IF(OR($C265="",$E265="",$H265="",$K265="Cancelada"),"",IF(COUNTIFS($A$5:$A$504,$A265,$H$5:$H$504,$H265,$K$5:$K$504,"&lt;&gt;Cancelada",$C$5:$C$504,"&lt;"&amp;$E265,$E$5:$E$504,"&gt;"&amp;$C265)&gt;1,"Se solapa con otra actividad en esta sala",""))</f>
        <v/>
      </c>
    </row>
    <row r="266" ht="21" customHeight="1">
      <c r="A266" s="35" t="n"/>
      <c r="B266" s="36" t="n"/>
      <c r="C266" s="37">
        <f>IF($A266="","",IF($B266&lt;&gt;"",$B266,IF($A266=$A265,$E265,Configuración!$C$5)))</f>
        <v/>
      </c>
      <c r="D266" s="38" t="n"/>
      <c r="E266" s="37">
        <f>IF(OR($C266="",$D266=""),"",$C266+$D266/1440)</f>
        <v/>
      </c>
      <c r="F266" s="39" t="n"/>
      <c r="G266" s="40" t="n"/>
      <c r="H266" s="40" t="n"/>
      <c r="I266" s="40" t="n"/>
      <c r="J266" s="40" t="n"/>
      <c r="K266" s="40" t="n"/>
      <c r="L266" s="41" t="n"/>
      <c r="M266" s="42">
        <f>IF(OR($C266="",$E266="",$H266="",$K266="Cancelada"),"",IF(COUNTIFS($A$5:$A$504,$A266,$H$5:$H$504,$H266,$K$5:$K$504,"&lt;&gt;Cancelada",$C$5:$C$504,"&lt;"&amp;$E266,$E$5:$E$504,"&gt;"&amp;$C266)&gt;1,"Se solapa con otra actividad en esta sala",""))</f>
        <v/>
      </c>
    </row>
    <row r="267" ht="21" customHeight="1">
      <c r="A267" s="35" t="n"/>
      <c r="B267" s="36" t="n"/>
      <c r="C267" s="37">
        <f>IF($A267="","",IF($B267&lt;&gt;"",$B267,IF($A267=$A266,$E266,Configuración!$C$5)))</f>
        <v/>
      </c>
      <c r="D267" s="38" t="n"/>
      <c r="E267" s="37">
        <f>IF(OR($C267="",$D267=""),"",$C267+$D267/1440)</f>
        <v/>
      </c>
      <c r="F267" s="39" t="n"/>
      <c r="G267" s="40" t="n"/>
      <c r="H267" s="40" t="n"/>
      <c r="I267" s="40" t="n"/>
      <c r="J267" s="40" t="n"/>
      <c r="K267" s="40" t="n"/>
      <c r="L267" s="41" t="n"/>
      <c r="M267" s="42">
        <f>IF(OR($C267="",$E267="",$H267="",$K267="Cancelada"),"",IF(COUNTIFS($A$5:$A$504,$A267,$H$5:$H$504,$H267,$K$5:$K$504,"&lt;&gt;Cancelada",$C$5:$C$504,"&lt;"&amp;$E267,$E$5:$E$504,"&gt;"&amp;$C267)&gt;1,"Se solapa con otra actividad en esta sala",""))</f>
        <v/>
      </c>
    </row>
    <row r="268" ht="21" customHeight="1">
      <c r="A268" s="35" t="n"/>
      <c r="B268" s="36" t="n"/>
      <c r="C268" s="37">
        <f>IF($A268="","",IF($B268&lt;&gt;"",$B268,IF($A268=$A267,$E267,Configuración!$C$5)))</f>
        <v/>
      </c>
      <c r="D268" s="38" t="n"/>
      <c r="E268" s="37">
        <f>IF(OR($C268="",$D268=""),"",$C268+$D268/1440)</f>
        <v/>
      </c>
      <c r="F268" s="39" t="n"/>
      <c r="G268" s="40" t="n"/>
      <c r="H268" s="40" t="n"/>
      <c r="I268" s="40" t="n"/>
      <c r="J268" s="40" t="n"/>
      <c r="K268" s="40" t="n"/>
      <c r="L268" s="41" t="n"/>
      <c r="M268" s="42">
        <f>IF(OR($C268="",$E268="",$H268="",$K268="Cancelada"),"",IF(COUNTIFS($A$5:$A$504,$A268,$H$5:$H$504,$H268,$K$5:$K$504,"&lt;&gt;Cancelada",$C$5:$C$504,"&lt;"&amp;$E268,$E$5:$E$504,"&gt;"&amp;$C268)&gt;1,"Se solapa con otra actividad en esta sala",""))</f>
        <v/>
      </c>
    </row>
    <row r="269" ht="21" customHeight="1">
      <c r="A269" s="35" t="n"/>
      <c r="B269" s="36" t="n"/>
      <c r="C269" s="37">
        <f>IF($A269="","",IF($B269&lt;&gt;"",$B269,IF($A269=$A268,$E268,Configuración!$C$5)))</f>
        <v/>
      </c>
      <c r="D269" s="38" t="n"/>
      <c r="E269" s="37">
        <f>IF(OR($C269="",$D269=""),"",$C269+$D269/1440)</f>
        <v/>
      </c>
      <c r="F269" s="39" t="n"/>
      <c r="G269" s="40" t="n"/>
      <c r="H269" s="40" t="n"/>
      <c r="I269" s="40" t="n"/>
      <c r="J269" s="40" t="n"/>
      <c r="K269" s="40" t="n"/>
      <c r="L269" s="41" t="n"/>
      <c r="M269" s="42">
        <f>IF(OR($C269="",$E269="",$H269="",$K269="Cancelada"),"",IF(COUNTIFS($A$5:$A$504,$A269,$H$5:$H$504,$H269,$K$5:$K$504,"&lt;&gt;Cancelada",$C$5:$C$504,"&lt;"&amp;$E269,$E$5:$E$504,"&gt;"&amp;$C269)&gt;1,"Se solapa con otra actividad en esta sala",""))</f>
        <v/>
      </c>
    </row>
    <row r="270" ht="21" customHeight="1">
      <c r="A270" s="35" t="n"/>
      <c r="B270" s="36" t="n"/>
      <c r="C270" s="37">
        <f>IF($A270="","",IF($B270&lt;&gt;"",$B270,IF($A270=$A269,$E269,Configuración!$C$5)))</f>
        <v/>
      </c>
      <c r="D270" s="38" t="n"/>
      <c r="E270" s="37">
        <f>IF(OR($C270="",$D270=""),"",$C270+$D270/1440)</f>
        <v/>
      </c>
      <c r="F270" s="39" t="n"/>
      <c r="G270" s="40" t="n"/>
      <c r="H270" s="40" t="n"/>
      <c r="I270" s="40" t="n"/>
      <c r="J270" s="40" t="n"/>
      <c r="K270" s="40" t="n"/>
      <c r="L270" s="41" t="n"/>
      <c r="M270" s="42">
        <f>IF(OR($C270="",$E270="",$H270="",$K270="Cancelada"),"",IF(COUNTIFS($A$5:$A$504,$A270,$H$5:$H$504,$H270,$K$5:$K$504,"&lt;&gt;Cancelada",$C$5:$C$504,"&lt;"&amp;$E270,$E$5:$E$504,"&gt;"&amp;$C270)&gt;1,"Se solapa con otra actividad en esta sala",""))</f>
        <v/>
      </c>
    </row>
    <row r="271" ht="21" customHeight="1">
      <c r="A271" s="35" t="n"/>
      <c r="B271" s="36" t="n"/>
      <c r="C271" s="37">
        <f>IF($A271="","",IF($B271&lt;&gt;"",$B271,IF($A271=$A270,$E270,Configuración!$C$5)))</f>
        <v/>
      </c>
      <c r="D271" s="38" t="n"/>
      <c r="E271" s="37">
        <f>IF(OR($C271="",$D271=""),"",$C271+$D271/1440)</f>
        <v/>
      </c>
      <c r="F271" s="39" t="n"/>
      <c r="G271" s="40" t="n"/>
      <c r="H271" s="40" t="n"/>
      <c r="I271" s="40" t="n"/>
      <c r="J271" s="40" t="n"/>
      <c r="K271" s="40" t="n"/>
      <c r="L271" s="41" t="n"/>
      <c r="M271" s="42">
        <f>IF(OR($C271="",$E271="",$H271="",$K271="Cancelada"),"",IF(COUNTIFS($A$5:$A$504,$A271,$H$5:$H$504,$H271,$K$5:$K$504,"&lt;&gt;Cancelada",$C$5:$C$504,"&lt;"&amp;$E271,$E$5:$E$504,"&gt;"&amp;$C271)&gt;1,"Se solapa con otra actividad en esta sala",""))</f>
        <v/>
      </c>
    </row>
    <row r="272" ht="21" customHeight="1">
      <c r="A272" s="35" t="n"/>
      <c r="B272" s="36" t="n"/>
      <c r="C272" s="37">
        <f>IF($A272="","",IF($B272&lt;&gt;"",$B272,IF($A272=$A271,$E271,Configuración!$C$5)))</f>
        <v/>
      </c>
      <c r="D272" s="38" t="n"/>
      <c r="E272" s="37">
        <f>IF(OR($C272="",$D272=""),"",$C272+$D272/1440)</f>
        <v/>
      </c>
      <c r="F272" s="39" t="n"/>
      <c r="G272" s="40" t="n"/>
      <c r="H272" s="40" t="n"/>
      <c r="I272" s="40" t="n"/>
      <c r="J272" s="40" t="n"/>
      <c r="K272" s="40" t="n"/>
      <c r="L272" s="41" t="n"/>
      <c r="M272" s="42">
        <f>IF(OR($C272="",$E272="",$H272="",$K272="Cancelada"),"",IF(COUNTIFS($A$5:$A$504,$A272,$H$5:$H$504,$H272,$K$5:$K$504,"&lt;&gt;Cancelada",$C$5:$C$504,"&lt;"&amp;$E272,$E$5:$E$504,"&gt;"&amp;$C272)&gt;1,"Se solapa con otra actividad en esta sala",""))</f>
        <v/>
      </c>
    </row>
    <row r="273" ht="21" customHeight="1">
      <c r="A273" s="35" t="n"/>
      <c r="B273" s="36" t="n"/>
      <c r="C273" s="37">
        <f>IF($A273="","",IF($B273&lt;&gt;"",$B273,IF($A273=$A272,$E272,Configuración!$C$5)))</f>
        <v/>
      </c>
      <c r="D273" s="38" t="n"/>
      <c r="E273" s="37">
        <f>IF(OR($C273="",$D273=""),"",$C273+$D273/1440)</f>
        <v/>
      </c>
      <c r="F273" s="39" t="n"/>
      <c r="G273" s="40" t="n"/>
      <c r="H273" s="40" t="n"/>
      <c r="I273" s="40" t="n"/>
      <c r="J273" s="40" t="n"/>
      <c r="K273" s="40" t="n"/>
      <c r="L273" s="41" t="n"/>
      <c r="M273" s="42">
        <f>IF(OR($C273="",$E273="",$H273="",$K273="Cancelada"),"",IF(COUNTIFS($A$5:$A$504,$A273,$H$5:$H$504,$H273,$K$5:$K$504,"&lt;&gt;Cancelada",$C$5:$C$504,"&lt;"&amp;$E273,$E$5:$E$504,"&gt;"&amp;$C273)&gt;1,"Se solapa con otra actividad en esta sala",""))</f>
        <v/>
      </c>
    </row>
    <row r="274" ht="21" customHeight="1">
      <c r="A274" s="35" t="n"/>
      <c r="B274" s="36" t="n"/>
      <c r="C274" s="37">
        <f>IF($A274="","",IF($B274&lt;&gt;"",$B274,IF($A274=$A273,$E273,Configuración!$C$5)))</f>
        <v/>
      </c>
      <c r="D274" s="38" t="n"/>
      <c r="E274" s="37">
        <f>IF(OR($C274="",$D274=""),"",$C274+$D274/1440)</f>
        <v/>
      </c>
      <c r="F274" s="39" t="n"/>
      <c r="G274" s="40" t="n"/>
      <c r="H274" s="40" t="n"/>
      <c r="I274" s="40" t="n"/>
      <c r="J274" s="40" t="n"/>
      <c r="K274" s="40" t="n"/>
      <c r="L274" s="41" t="n"/>
      <c r="M274" s="42">
        <f>IF(OR($C274="",$E274="",$H274="",$K274="Cancelada"),"",IF(COUNTIFS($A$5:$A$504,$A274,$H$5:$H$504,$H274,$K$5:$K$504,"&lt;&gt;Cancelada",$C$5:$C$504,"&lt;"&amp;$E274,$E$5:$E$504,"&gt;"&amp;$C274)&gt;1,"Se solapa con otra actividad en esta sala",""))</f>
        <v/>
      </c>
    </row>
    <row r="275" ht="21" customHeight="1">
      <c r="A275" s="35" t="n"/>
      <c r="B275" s="36" t="n"/>
      <c r="C275" s="37">
        <f>IF($A275="","",IF($B275&lt;&gt;"",$B275,IF($A275=$A274,$E274,Configuración!$C$5)))</f>
        <v/>
      </c>
      <c r="D275" s="38" t="n"/>
      <c r="E275" s="37">
        <f>IF(OR($C275="",$D275=""),"",$C275+$D275/1440)</f>
        <v/>
      </c>
      <c r="F275" s="39" t="n"/>
      <c r="G275" s="40" t="n"/>
      <c r="H275" s="40" t="n"/>
      <c r="I275" s="40" t="n"/>
      <c r="J275" s="40" t="n"/>
      <c r="K275" s="40" t="n"/>
      <c r="L275" s="41" t="n"/>
      <c r="M275" s="42">
        <f>IF(OR($C275="",$E275="",$H275="",$K275="Cancelada"),"",IF(COUNTIFS($A$5:$A$504,$A275,$H$5:$H$504,$H275,$K$5:$K$504,"&lt;&gt;Cancelada",$C$5:$C$504,"&lt;"&amp;$E275,$E$5:$E$504,"&gt;"&amp;$C275)&gt;1,"Se solapa con otra actividad en esta sala",""))</f>
        <v/>
      </c>
    </row>
    <row r="276" ht="21" customHeight="1">
      <c r="A276" s="35" t="n"/>
      <c r="B276" s="36" t="n"/>
      <c r="C276" s="37">
        <f>IF($A276="","",IF($B276&lt;&gt;"",$B276,IF($A276=$A275,$E275,Configuración!$C$5)))</f>
        <v/>
      </c>
      <c r="D276" s="38" t="n"/>
      <c r="E276" s="37">
        <f>IF(OR($C276="",$D276=""),"",$C276+$D276/1440)</f>
        <v/>
      </c>
      <c r="F276" s="39" t="n"/>
      <c r="G276" s="40" t="n"/>
      <c r="H276" s="40" t="n"/>
      <c r="I276" s="40" t="n"/>
      <c r="J276" s="40" t="n"/>
      <c r="K276" s="40" t="n"/>
      <c r="L276" s="41" t="n"/>
      <c r="M276" s="42">
        <f>IF(OR($C276="",$E276="",$H276="",$K276="Cancelada"),"",IF(COUNTIFS($A$5:$A$504,$A276,$H$5:$H$504,$H276,$K$5:$K$504,"&lt;&gt;Cancelada",$C$5:$C$504,"&lt;"&amp;$E276,$E$5:$E$504,"&gt;"&amp;$C276)&gt;1,"Se solapa con otra actividad en esta sala",""))</f>
        <v/>
      </c>
    </row>
    <row r="277" ht="21" customHeight="1">
      <c r="A277" s="35" t="n"/>
      <c r="B277" s="36" t="n"/>
      <c r="C277" s="37">
        <f>IF($A277="","",IF($B277&lt;&gt;"",$B277,IF($A277=$A276,$E276,Configuración!$C$5)))</f>
        <v/>
      </c>
      <c r="D277" s="38" t="n"/>
      <c r="E277" s="37">
        <f>IF(OR($C277="",$D277=""),"",$C277+$D277/1440)</f>
        <v/>
      </c>
      <c r="F277" s="39" t="n"/>
      <c r="G277" s="40" t="n"/>
      <c r="H277" s="40" t="n"/>
      <c r="I277" s="40" t="n"/>
      <c r="J277" s="40" t="n"/>
      <c r="K277" s="40" t="n"/>
      <c r="L277" s="41" t="n"/>
      <c r="M277" s="42">
        <f>IF(OR($C277="",$E277="",$H277="",$K277="Cancelada"),"",IF(COUNTIFS($A$5:$A$504,$A277,$H$5:$H$504,$H277,$K$5:$K$504,"&lt;&gt;Cancelada",$C$5:$C$504,"&lt;"&amp;$E277,$E$5:$E$504,"&gt;"&amp;$C277)&gt;1,"Se solapa con otra actividad en esta sala",""))</f>
        <v/>
      </c>
    </row>
    <row r="278" ht="21" customHeight="1">
      <c r="A278" s="35" t="n"/>
      <c r="B278" s="36" t="n"/>
      <c r="C278" s="37">
        <f>IF($A278="","",IF($B278&lt;&gt;"",$B278,IF($A278=$A277,$E277,Configuración!$C$5)))</f>
        <v/>
      </c>
      <c r="D278" s="38" t="n"/>
      <c r="E278" s="37">
        <f>IF(OR($C278="",$D278=""),"",$C278+$D278/1440)</f>
        <v/>
      </c>
      <c r="F278" s="39" t="n"/>
      <c r="G278" s="40" t="n"/>
      <c r="H278" s="40" t="n"/>
      <c r="I278" s="40" t="n"/>
      <c r="J278" s="40" t="n"/>
      <c r="K278" s="40" t="n"/>
      <c r="L278" s="41" t="n"/>
      <c r="M278" s="42">
        <f>IF(OR($C278="",$E278="",$H278="",$K278="Cancelada"),"",IF(COUNTIFS($A$5:$A$504,$A278,$H$5:$H$504,$H278,$K$5:$K$504,"&lt;&gt;Cancelada",$C$5:$C$504,"&lt;"&amp;$E278,$E$5:$E$504,"&gt;"&amp;$C278)&gt;1,"Se solapa con otra actividad en esta sala",""))</f>
        <v/>
      </c>
    </row>
    <row r="279" ht="21" customHeight="1">
      <c r="A279" s="35" t="n"/>
      <c r="B279" s="36" t="n"/>
      <c r="C279" s="37">
        <f>IF($A279="","",IF($B279&lt;&gt;"",$B279,IF($A279=$A278,$E278,Configuración!$C$5)))</f>
        <v/>
      </c>
      <c r="D279" s="38" t="n"/>
      <c r="E279" s="37">
        <f>IF(OR($C279="",$D279=""),"",$C279+$D279/1440)</f>
        <v/>
      </c>
      <c r="F279" s="39" t="n"/>
      <c r="G279" s="40" t="n"/>
      <c r="H279" s="40" t="n"/>
      <c r="I279" s="40" t="n"/>
      <c r="J279" s="40" t="n"/>
      <c r="K279" s="40" t="n"/>
      <c r="L279" s="41" t="n"/>
      <c r="M279" s="42">
        <f>IF(OR($C279="",$E279="",$H279="",$K279="Cancelada"),"",IF(COUNTIFS($A$5:$A$504,$A279,$H$5:$H$504,$H279,$K$5:$K$504,"&lt;&gt;Cancelada",$C$5:$C$504,"&lt;"&amp;$E279,$E$5:$E$504,"&gt;"&amp;$C279)&gt;1,"Se solapa con otra actividad en esta sala",""))</f>
        <v/>
      </c>
    </row>
    <row r="280" ht="21" customHeight="1">
      <c r="A280" s="35" t="n"/>
      <c r="B280" s="36" t="n"/>
      <c r="C280" s="37">
        <f>IF($A280="","",IF($B280&lt;&gt;"",$B280,IF($A280=$A279,$E279,Configuración!$C$5)))</f>
        <v/>
      </c>
      <c r="D280" s="38" t="n"/>
      <c r="E280" s="37">
        <f>IF(OR($C280="",$D280=""),"",$C280+$D280/1440)</f>
        <v/>
      </c>
      <c r="F280" s="39" t="n"/>
      <c r="G280" s="40" t="n"/>
      <c r="H280" s="40" t="n"/>
      <c r="I280" s="40" t="n"/>
      <c r="J280" s="40" t="n"/>
      <c r="K280" s="40" t="n"/>
      <c r="L280" s="41" t="n"/>
      <c r="M280" s="42">
        <f>IF(OR($C280="",$E280="",$H280="",$K280="Cancelada"),"",IF(COUNTIFS($A$5:$A$504,$A280,$H$5:$H$504,$H280,$K$5:$K$504,"&lt;&gt;Cancelada",$C$5:$C$504,"&lt;"&amp;$E280,$E$5:$E$504,"&gt;"&amp;$C280)&gt;1,"Se solapa con otra actividad en esta sala",""))</f>
        <v/>
      </c>
    </row>
    <row r="281" ht="21" customHeight="1">
      <c r="A281" s="35" t="n"/>
      <c r="B281" s="36" t="n"/>
      <c r="C281" s="37">
        <f>IF($A281="","",IF($B281&lt;&gt;"",$B281,IF($A281=$A280,$E280,Configuración!$C$5)))</f>
        <v/>
      </c>
      <c r="D281" s="38" t="n"/>
      <c r="E281" s="37">
        <f>IF(OR($C281="",$D281=""),"",$C281+$D281/1440)</f>
        <v/>
      </c>
      <c r="F281" s="39" t="n"/>
      <c r="G281" s="40" t="n"/>
      <c r="H281" s="40" t="n"/>
      <c r="I281" s="40" t="n"/>
      <c r="J281" s="40" t="n"/>
      <c r="K281" s="40" t="n"/>
      <c r="L281" s="41" t="n"/>
      <c r="M281" s="42">
        <f>IF(OR($C281="",$E281="",$H281="",$K281="Cancelada"),"",IF(COUNTIFS($A$5:$A$504,$A281,$H$5:$H$504,$H281,$K$5:$K$504,"&lt;&gt;Cancelada",$C$5:$C$504,"&lt;"&amp;$E281,$E$5:$E$504,"&gt;"&amp;$C281)&gt;1,"Se solapa con otra actividad en esta sala",""))</f>
        <v/>
      </c>
    </row>
    <row r="282" ht="21" customHeight="1">
      <c r="A282" s="35" t="n"/>
      <c r="B282" s="36" t="n"/>
      <c r="C282" s="37">
        <f>IF($A282="","",IF($B282&lt;&gt;"",$B282,IF($A282=$A281,$E281,Configuración!$C$5)))</f>
        <v/>
      </c>
      <c r="D282" s="38" t="n"/>
      <c r="E282" s="37">
        <f>IF(OR($C282="",$D282=""),"",$C282+$D282/1440)</f>
        <v/>
      </c>
      <c r="F282" s="39" t="n"/>
      <c r="G282" s="40" t="n"/>
      <c r="H282" s="40" t="n"/>
      <c r="I282" s="40" t="n"/>
      <c r="J282" s="40" t="n"/>
      <c r="K282" s="40" t="n"/>
      <c r="L282" s="41" t="n"/>
      <c r="M282" s="42">
        <f>IF(OR($C282="",$E282="",$H282="",$K282="Cancelada"),"",IF(COUNTIFS($A$5:$A$504,$A282,$H$5:$H$504,$H282,$K$5:$K$504,"&lt;&gt;Cancelada",$C$5:$C$504,"&lt;"&amp;$E282,$E$5:$E$504,"&gt;"&amp;$C282)&gt;1,"Se solapa con otra actividad en esta sala",""))</f>
        <v/>
      </c>
    </row>
    <row r="283" ht="21" customHeight="1">
      <c r="A283" s="35" t="n"/>
      <c r="B283" s="36" t="n"/>
      <c r="C283" s="37">
        <f>IF($A283="","",IF($B283&lt;&gt;"",$B283,IF($A283=$A282,$E282,Configuración!$C$5)))</f>
        <v/>
      </c>
      <c r="D283" s="38" t="n"/>
      <c r="E283" s="37">
        <f>IF(OR($C283="",$D283=""),"",$C283+$D283/1440)</f>
        <v/>
      </c>
      <c r="F283" s="39" t="n"/>
      <c r="G283" s="40" t="n"/>
      <c r="H283" s="40" t="n"/>
      <c r="I283" s="40" t="n"/>
      <c r="J283" s="40" t="n"/>
      <c r="K283" s="40" t="n"/>
      <c r="L283" s="41" t="n"/>
      <c r="M283" s="42">
        <f>IF(OR($C283="",$E283="",$H283="",$K283="Cancelada"),"",IF(COUNTIFS($A$5:$A$504,$A283,$H$5:$H$504,$H283,$K$5:$K$504,"&lt;&gt;Cancelada",$C$5:$C$504,"&lt;"&amp;$E283,$E$5:$E$504,"&gt;"&amp;$C283)&gt;1,"Se solapa con otra actividad en esta sala",""))</f>
        <v/>
      </c>
    </row>
    <row r="284" ht="21" customHeight="1">
      <c r="A284" s="35" t="n"/>
      <c r="B284" s="36" t="n"/>
      <c r="C284" s="37">
        <f>IF($A284="","",IF($B284&lt;&gt;"",$B284,IF($A284=$A283,$E283,Configuración!$C$5)))</f>
        <v/>
      </c>
      <c r="D284" s="38" t="n"/>
      <c r="E284" s="37">
        <f>IF(OR($C284="",$D284=""),"",$C284+$D284/1440)</f>
        <v/>
      </c>
      <c r="F284" s="39" t="n"/>
      <c r="G284" s="40" t="n"/>
      <c r="H284" s="40" t="n"/>
      <c r="I284" s="40" t="n"/>
      <c r="J284" s="40" t="n"/>
      <c r="K284" s="40" t="n"/>
      <c r="L284" s="41" t="n"/>
      <c r="M284" s="42">
        <f>IF(OR($C284="",$E284="",$H284="",$K284="Cancelada"),"",IF(COUNTIFS($A$5:$A$504,$A284,$H$5:$H$504,$H284,$K$5:$K$504,"&lt;&gt;Cancelada",$C$5:$C$504,"&lt;"&amp;$E284,$E$5:$E$504,"&gt;"&amp;$C284)&gt;1,"Se solapa con otra actividad en esta sala",""))</f>
        <v/>
      </c>
    </row>
    <row r="285" ht="21" customHeight="1">
      <c r="A285" s="35" t="n"/>
      <c r="B285" s="36" t="n"/>
      <c r="C285" s="37">
        <f>IF($A285="","",IF($B285&lt;&gt;"",$B285,IF($A285=$A284,$E284,Configuración!$C$5)))</f>
        <v/>
      </c>
      <c r="D285" s="38" t="n"/>
      <c r="E285" s="37">
        <f>IF(OR($C285="",$D285=""),"",$C285+$D285/1440)</f>
        <v/>
      </c>
      <c r="F285" s="39" t="n"/>
      <c r="G285" s="40" t="n"/>
      <c r="H285" s="40" t="n"/>
      <c r="I285" s="40" t="n"/>
      <c r="J285" s="40" t="n"/>
      <c r="K285" s="40" t="n"/>
      <c r="L285" s="41" t="n"/>
      <c r="M285" s="42">
        <f>IF(OR($C285="",$E285="",$H285="",$K285="Cancelada"),"",IF(COUNTIFS($A$5:$A$504,$A285,$H$5:$H$504,$H285,$K$5:$K$504,"&lt;&gt;Cancelada",$C$5:$C$504,"&lt;"&amp;$E285,$E$5:$E$504,"&gt;"&amp;$C285)&gt;1,"Se solapa con otra actividad en esta sala",""))</f>
        <v/>
      </c>
    </row>
    <row r="286" ht="21" customHeight="1">
      <c r="A286" s="35" t="n"/>
      <c r="B286" s="36" t="n"/>
      <c r="C286" s="37">
        <f>IF($A286="","",IF($B286&lt;&gt;"",$B286,IF($A286=$A285,$E285,Configuración!$C$5)))</f>
        <v/>
      </c>
      <c r="D286" s="38" t="n"/>
      <c r="E286" s="37">
        <f>IF(OR($C286="",$D286=""),"",$C286+$D286/1440)</f>
        <v/>
      </c>
      <c r="F286" s="39" t="n"/>
      <c r="G286" s="40" t="n"/>
      <c r="H286" s="40" t="n"/>
      <c r="I286" s="40" t="n"/>
      <c r="J286" s="40" t="n"/>
      <c r="K286" s="40" t="n"/>
      <c r="L286" s="41" t="n"/>
      <c r="M286" s="42">
        <f>IF(OR($C286="",$E286="",$H286="",$K286="Cancelada"),"",IF(COUNTIFS($A$5:$A$504,$A286,$H$5:$H$504,$H286,$K$5:$K$504,"&lt;&gt;Cancelada",$C$5:$C$504,"&lt;"&amp;$E286,$E$5:$E$504,"&gt;"&amp;$C286)&gt;1,"Se solapa con otra actividad en esta sala",""))</f>
        <v/>
      </c>
    </row>
    <row r="287" ht="21" customHeight="1">
      <c r="A287" s="35" t="n"/>
      <c r="B287" s="36" t="n"/>
      <c r="C287" s="37">
        <f>IF($A287="","",IF($B287&lt;&gt;"",$B287,IF($A287=$A286,$E286,Configuración!$C$5)))</f>
        <v/>
      </c>
      <c r="D287" s="38" t="n"/>
      <c r="E287" s="37">
        <f>IF(OR($C287="",$D287=""),"",$C287+$D287/1440)</f>
        <v/>
      </c>
      <c r="F287" s="39" t="n"/>
      <c r="G287" s="40" t="n"/>
      <c r="H287" s="40" t="n"/>
      <c r="I287" s="40" t="n"/>
      <c r="J287" s="40" t="n"/>
      <c r="K287" s="40" t="n"/>
      <c r="L287" s="41" t="n"/>
      <c r="M287" s="42">
        <f>IF(OR($C287="",$E287="",$H287="",$K287="Cancelada"),"",IF(COUNTIFS($A$5:$A$504,$A287,$H$5:$H$504,$H287,$K$5:$K$504,"&lt;&gt;Cancelada",$C$5:$C$504,"&lt;"&amp;$E287,$E$5:$E$504,"&gt;"&amp;$C287)&gt;1,"Se solapa con otra actividad en esta sala",""))</f>
        <v/>
      </c>
    </row>
    <row r="288" ht="21" customHeight="1">
      <c r="A288" s="35" t="n"/>
      <c r="B288" s="36" t="n"/>
      <c r="C288" s="37">
        <f>IF($A288="","",IF($B288&lt;&gt;"",$B288,IF($A288=$A287,$E287,Configuración!$C$5)))</f>
        <v/>
      </c>
      <c r="D288" s="38" t="n"/>
      <c r="E288" s="37">
        <f>IF(OR($C288="",$D288=""),"",$C288+$D288/1440)</f>
        <v/>
      </c>
      <c r="F288" s="39" t="n"/>
      <c r="G288" s="40" t="n"/>
      <c r="H288" s="40" t="n"/>
      <c r="I288" s="40" t="n"/>
      <c r="J288" s="40" t="n"/>
      <c r="K288" s="40" t="n"/>
      <c r="L288" s="41" t="n"/>
      <c r="M288" s="42">
        <f>IF(OR($C288="",$E288="",$H288="",$K288="Cancelada"),"",IF(COUNTIFS($A$5:$A$504,$A288,$H$5:$H$504,$H288,$K$5:$K$504,"&lt;&gt;Cancelada",$C$5:$C$504,"&lt;"&amp;$E288,$E$5:$E$504,"&gt;"&amp;$C288)&gt;1,"Se solapa con otra actividad en esta sala",""))</f>
        <v/>
      </c>
    </row>
    <row r="289" ht="21" customHeight="1">
      <c r="A289" s="35" t="n"/>
      <c r="B289" s="36" t="n"/>
      <c r="C289" s="37">
        <f>IF($A289="","",IF($B289&lt;&gt;"",$B289,IF($A289=$A288,$E288,Configuración!$C$5)))</f>
        <v/>
      </c>
      <c r="D289" s="38" t="n"/>
      <c r="E289" s="37">
        <f>IF(OR($C289="",$D289=""),"",$C289+$D289/1440)</f>
        <v/>
      </c>
      <c r="F289" s="39" t="n"/>
      <c r="G289" s="40" t="n"/>
      <c r="H289" s="40" t="n"/>
      <c r="I289" s="40" t="n"/>
      <c r="J289" s="40" t="n"/>
      <c r="K289" s="40" t="n"/>
      <c r="L289" s="41" t="n"/>
      <c r="M289" s="42">
        <f>IF(OR($C289="",$E289="",$H289="",$K289="Cancelada"),"",IF(COUNTIFS($A$5:$A$504,$A289,$H$5:$H$504,$H289,$K$5:$K$504,"&lt;&gt;Cancelada",$C$5:$C$504,"&lt;"&amp;$E289,$E$5:$E$504,"&gt;"&amp;$C289)&gt;1,"Se solapa con otra actividad en esta sala",""))</f>
        <v/>
      </c>
    </row>
    <row r="290" ht="21" customHeight="1">
      <c r="A290" s="35" t="n"/>
      <c r="B290" s="36" t="n"/>
      <c r="C290" s="37">
        <f>IF($A290="","",IF($B290&lt;&gt;"",$B290,IF($A290=$A289,$E289,Configuración!$C$5)))</f>
        <v/>
      </c>
      <c r="D290" s="38" t="n"/>
      <c r="E290" s="37">
        <f>IF(OR($C290="",$D290=""),"",$C290+$D290/1440)</f>
        <v/>
      </c>
      <c r="F290" s="39" t="n"/>
      <c r="G290" s="40" t="n"/>
      <c r="H290" s="40" t="n"/>
      <c r="I290" s="40" t="n"/>
      <c r="J290" s="40" t="n"/>
      <c r="K290" s="40" t="n"/>
      <c r="L290" s="41" t="n"/>
      <c r="M290" s="42">
        <f>IF(OR($C290="",$E290="",$H290="",$K290="Cancelada"),"",IF(COUNTIFS($A$5:$A$504,$A290,$H$5:$H$504,$H290,$K$5:$K$504,"&lt;&gt;Cancelada",$C$5:$C$504,"&lt;"&amp;$E290,$E$5:$E$504,"&gt;"&amp;$C290)&gt;1,"Se solapa con otra actividad en esta sala",""))</f>
        <v/>
      </c>
    </row>
    <row r="291" ht="21" customHeight="1">
      <c r="A291" s="35" t="n"/>
      <c r="B291" s="36" t="n"/>
      <c r="C291" s="37">
        <f>IF($A291="","",IF($B291&lt;&gt;"",$B291,IF($A291=$A290,$E290,Configuración!$C$5)))</f>
        <v/>
      </c>
      <c r="D291" s="38" t="n"/>
      <c r="E291" s="37">
        <f>IF(OR($C291="",$D291=""),"",$C291+$D291/1440)</f>
        <v/>
      </c>
      <c r="F291" s="39" t="n"/>
      <c r="G291" s="40" t="n"/>
      <c r="H291" s="40" t="n"/>
      <c r="I291" s="40" t="n"/>
      <c r="J291" s="40" t="n"/>
      <c r="K291" s="40" t="n"/>
      <c r="L291" s="41" t="n"/>
      <c r="M291" s="42">
        <f>IF(OR($C291="",$E291="",$H291="",$K291="Cancelada"),"",IF(COUNTIFS($A$5:$A$504,$A291,$H$5:$H$504,$H291,$K$5:$K$504,"&lt;&gt;Cancelada",$C$5:$C$504,"&lt;"&amp;$E291,$E$5:$E$504,"&gt;"&amp;$C291)&gt;1,"Se solapa con otra actividad en esta sala",""))</f>
        <v/>
      </c>
    </row>
    <row r="292" ht="21" customHeight="1">
      <c r="A292" s="35" t="n"/>
      <c r="B292" s="36" t="n"/>
      <c r="C292" s="37">
        <f>IF($A292="","",IF($B292&lt;&gt;"",$B292,IF($A292=$A291,$E291,Configuración!$C$5)))</f>
        <v/>
      </c>
      <c r="D292" s="38" t="n"/>
      <c r="E292" s="37">
        <f>IF(OR($C292="",$D292=""),"",$C292+$D292/1440)</f>
        <v/>
      </c>
      <c r="F292" s="39" t="n"/>
      <c r="G292" s="40" t="n"/>
      <c r="H292" s="40" t="n"/>
      <c r="I292" s="40" t="n"/>
      <c r="J292" s="40" t="n"/>
      <c r="K292" s="40" t="n"/>
      <c r="L292" s="41" t="n"/>
      <c r="M292" s="42">
        <f>IF(OR($C292="",$E292="",$H292="",$K292="Cancelada"),"",IF(COUNTIFS($A$5:$A$504,$A292,$H$5:$H$504,$H292,$K$5:$K$504,"&lt;&gt;Cancelada",$C$5:$C$504,"&lt;"&amp;$E292,$E$5:$E$504,"&gt;"&amp;$C292)&gt;1,"Se solapa con otra actividad en esta sala",""))</f>
        <v/>
      </c>
    </row>
    <row r="293" ht="21" customHeight="1">
      <c r="A293" s="35" t="n"/>
      <c r="B293" s="36" t="n"/>
      <c r="C293" s="37">
        <f>IF($A293="","",IF($B293&lt;&gt;"",$B293,IF($A293=$A292,$E292,Configuración!$C$5)))</f>
        <v/>
      </c>
      <c r="D293" s="38" t="n"/>
      <c r="E293" s="37">
        <f>IF(OR($C293="",$D293=""),"",$C293+$D293/1440)</f>
        <v/>
      </c>
      <c r="F293" s="39" t="n"/>
      <c r="G293" s="40" t="n"/>
      <c r="H293" s="40" t="n"/>
      <c r="I293" s="40" t="n"/>
      <c r="J293" s="40" t="n"/>
      <c r="K293" s="40" t="n"/>
      <c r="L293" s="41" t="n"/>
      <c r="M293" s="42">
        <f>IF(OR($C293="",$E293="",$H293="",$K293="Cancelada"),"",IF(COUNTIFS($A$5:$A$504,$A293,$H$5:$H$504,$H293,$K$5:$K$504,"&lt;&gt;Cancelada",$C$5:$C$504,"&lt;"&amp;$E293,$E$5:$E$504,"&gt;"&amp;$C293)&gt;1,"Se solapa con otra actividad en esta sala",""))</f>
        <v/>
      </c>
    </row>
    <row r="294" ht="21" customHeight="1">
      <c r="A294" s="35" t="n"/>
      <c r="B294" s="36" t="n"/>
      <c r="C294" s="37">
        <f>IF($A294="","",IF($B294&lt;&gt;"",$B294,IF($A294=$A293,$E293,Configuración!$C$5)))</f>
        <v/>
      </c>
      <c r="D294" s="38" t="n"/>
      <c r="E294" s="37">
        <f>IF(OR($C294="",$D294=""),"",$C294+$D294/1440)</f>
        <v/>
      </c>
      <c r="F294" s="39" t="n"/>
      <c r="G294" s="40" t="n"/>
      <c r="H294" s="40" t="n"/>
      <c r="I294" s="40" t="n"/>
      <c r="J294" s="40" t="n"/>
      <c r="K294" s="40" t="n"/>
      <c r="L294" s="41" t="n"/>
      <c r="M294" s="42">
        <f>IF(OR($C294="",$E294="",$H294="",$K294="Cancelada"),"",IF(COUNTIFS($A$5:$A$504,$A294,$H$5:$H$504,$H294,$K$5:$K$504,"&lt;&gt;Cancelada",$C$5:$C$504,"&lt;"&amp;$E294,$E$5:$E$504,"&gt;"&amp;$C294)&gt;1,"Se solapa con otra actividad en esta sala",""))</f>
        <v/>
      </c>
    </row>
    <row r="295" ht="21" customHeight="1">
      <c r="A295" s="35" t="n"/>
      <c r="B295" s="36" t="n"/>
      <c r="C295" s="37">
        <f>IF($A295="","",IF($B295&lt;&gt;"",$B295,IF($A295=$A294,$E294,Configuración!$C$5)))</f>
        <v/>
      </c>
      <c r="D295" s="38" t="n"/>
      <c r="E295" s="37">
        <f>IF(OR($C295="",$D295=""),"",$C295+$D295/1440)</f>
        <v/>
      </c>
      <c r="F295" s="39" t="n"/>
      <c r="G295" s="40" t="n"/>
      <c r="H295" s="40" t="n"/>
      <c r="I295" s="40" t="n"/>
      <c r="J295" s="40" t="n"/>
      <c r="K295" s="40" t="n"/>
      <c r="L295" s="41" t="n"/>
      <c r="M295" s="42">
        <f>IF(OR($C295="",$E295="",$H295="",$K295="Cancelada"),"",IF(COUNTIFS($A$5:$A$504,$A295,$H$5:$H$504,$H295,$K$5:$K$504,"&lt;&gt;Cancelada",$C$5:$C$504,"&lt;"&amp;$E295,$E$5:$E$504,"&gt;"&amp;$C295)&gt;1,"Se solapa con otra actividad en esta sala",""))</f>
        <v/>
      </c>
    </row>
    <row r="296" ht="21" customHeight="1">
      <c r="A296" s="35" t="n"/>
      <c r="B296" s="36" t="n"/>
      <c r="C296" s="37">
        <f>IF($A296="","",IF($B296&lt;&gt;"",$B296,IF($A296=$A295,$E295,Configuración!$C$5)))</f>
        <v/>
      </c>
      <c r="D296" s="38" t="n"/>
      <c r="E296" s="37">
        <f>IF(OR($C296="",$D296=""),"",$C296+$D296/1440)</f>
        <v/>
      </c>
      <c r="F296" s="39" t="n"/>
      <c r="G296" s="40" t="n"/>
      <c r="H296" s="40" t="n"/>
      <c r="I296" s="40" t="n"/>
      <c r="J296" s="40" t="n"/>
      <c r="K296" s="40" t="n"/>
      <c r="L296" s="41" t="n"/>
      <c r="M296" s="42">
        <f>IF(OR($C296="",$E296="",$H296="",$K296="Cancelada"),"",IF(COUNTIFS($A$5:$A$504,$A296,$H$5:$H$504,$H296,$K$5:$K$504,"&lt;&gt;Cancelada",$C$5:$C$504,"&lt;"&amp;$E296,$E$5:$E$504,"&gt;"&amp;$C296)&gt;1,"Se solapa con otra actividad en esta sala",""))</f>
        <v/>
      </c>
    </row>
    <row r="297" ht="21" customHeight="1">
      <c r="A297" s="35" t="n"/>
      <c r="B297" s="36" t="n"/>
      <c r="C297" s="37">
        <f>IF($A297="","",IF($B297&lt;&gt;"",$B297,IF($A297=$A296,$E296,Configuración!$C$5)))</f>
        <v/>
      </c>
      <c r="D297" s="38" t="n"/>
      <c r="E297" s="37">
        <f>IF(OR($C297="",$D297=""),"",$C297+$D297/1440)</f>
        <v/>
      </c>
      <c r="F297" s="39" t="n"/>
      <c r="G297" s="40" t="n"/>
      <c r="H297" s="40" t="n"/>
      <c r="I297" s="40" t="n"/>
      <c r="J297" s="40" t="n"/>
      <c r="K297" s="40" t="n"/>
      <c r="L297" s="41" t="n"/>
      <c r="M297" s="42">
        <f>IF(OR($C297="",$E297="",$H297="",$K297="Cancelada"),"",IF(COUNTIFS($A$5:$A$504,$A297,$H$5:$H$504,$H297,$K$5:$K$504,"&lt;&gt;Cancelada",$C$5:$C$504,"&lt;"&amp;$E297,$E$5:$E$504,"&gt;"&amp;$C297)&gt;1,"Se solapa con otra actividad en esta sala",""))</f>
        <v/>
      </c>
    </row>
    <row r="298" ht="21" customHeight="1">
      <c r="A298" s="35" t="n"/>
      <c r="B298" s="36" t="n"/>
      <c r="C298" s="37">
        <f>IF($A298="","",IF($B298&lt;&gt;"",$B298,IF($A298=$A297,$E297,Configuración!$C$5)))</f>
        <v/>
      </c>
      <c r="D298" s="38" t="n"/>
      <c r="E298" s="37">
        <f>IF(OR($C298="",$D298=""),"",$C298+$D298/1440)</f>
        <v/>
      </c>
      <c r="F298" s="39" t="n"/>
      <c r="G298" s="40" t="n"/>
      <c r="H298" s="40" t="n"/>
      <c r="I298" s="40" t="n"/>
      <c r="J298" s="40" t="n"/>
      <c r="K298" s="40" t="n"/>
      <c r="L298" s="41" t="n"/>
      <c r="M298" s="42">
        <f>IF(OR($C298="",$E298="",$H298="",$K298="Cancelada"),"",IF(COUNTIFS($A$5:$A$504,$A298,$H$5:$H$504,$H298,$K$5:$K$504,"&lt;&gt;Cancelada",$C$5:$C$504,"&lt;"&amp;$E298,$E$5:$E$504,"&gt;"&amp;$C298)&gt;1,"Se solapa con otra actividad en esta sala",""))</f>
        <v/>
      </c>
    </row>
    <row r="299" ht="21" customHeight="1">
      <c r="A299" s="35" t="n"/>
      <c r="B299" s="36" t="n"/>
      <c r="C299" s="37">
        <f>IF($A299="","",IF($B299&lt;&gt;"",$B299,IF($A299=$A298,$E298,Configuración!$C$5)))</f>
        <v/>
      </c>
      <c r="D299" s="38" t="n"/>
      <c r="E299" s="37">
        <f>IF(OR($C299="",$D299=""),"",$C299+$D299/1440)</f>
        <v/>
      </c>
      <c r="F299" s="39" t="n"/>
      <c r="G299" s="40" t="n"/>
      <c r="H299" s="40" t="n"/>
      <c r="I299" s="40" t="n"/>
      <c r="J299" s="40" t="n"/>
      <c r="K299" s="40" t="n"/>
      <c r="L299" s="41" t="n"/>
      <c r="M299" s="42">
        <f>IF(OR($C299="",$E299="",$H299="",$K299="Cancelada"),"",IF(COUNTIFS($A$5:$A$504,$A299,$H$5:$H$504,$H299,$K$5:$K$504,"&lt;&gt;Cancelada",$C$5:$C$504,"&lt;"&amp;$E299,$E$5:$E$504,"&gt;"&amp;$C299)&gt;1,"Se solapa con otra actividad en esta sala",""))</f>
        <v/>
      </c>
    </row>
    <row r="300" ht="21" customHeight="1">
      <c r="A300" s="35" t="n"/>
      <c r="B300" s="36" t="n"/>
      <c r="C300" s="37">
        <f>IF($A300="","",IF($B300&lt;&gt;"",$B300,IF($A300=$A299,$E299,Configuración!$C$5)))</f>
        <v/>
      </c>
      <c r="D300" s="38" t="n"/>
      <c r="E300" s="37">
        <f>IF(OR($C300="",$D300=""),"",$C300+$D300/1440)</f>
        <v/>
      </c>
      <c r="F300" s="39" t="n"/>
      <c r="G300" s="40" t="n"/>
      <c r="H300" s="40" t="n"/>
      <c r="I300" s="40" t="n"/>
      <c r="J300" s="40" t="n"/>
      <c r="K300" s="40" t="n"/>
      <c r="L300" s="41" t="n"/>
      <c r="M300" s="42">
        <f>IF(OR($C300="",$E300="",$H300="",$K300="Cancelada"),"",IF(COUNTIFS($A$5:$A$504,$A300,$H$5:$H$504,$H300,$K$5:$K$504,"&lt;&gt;Cancelada",$C$5:$C$504,"&lt;"&amp;$E300,$E$5:$E$504,"&gt;"&amp;$C300)&gt;1,"Se solapa con otra actividad en esta sala",""))</f>
        <v/>
      </c>
    </row>
    <row r="301" ht="21" customHeight="1">
      <c r="A301" s="35" t="n"/>
      <c r="B301" s="36" t="n"/>
      <c r="C301" s="37">
        <f>IF($A301="","",IF($B301&lt;&gt;"",$B301,IF($A301=$A300,$E300,Configuración!$C$5)))</f>
        <v/>
      </c>
      <c r="D301" s="38" t="n"/>
      <c r="E301" s="37">
        <f>IF(OR($C301="",$D301=""),"",$C301+$D301/1440)</f>
        <v/>
      </c>
      <c r="F301" s="39" t="n"/>
      <c r="G301" s="40" t="n"/>
      <c r="H301" s="40" t="n"/>
      <c r="I301" s="40" t="n"/>
      <c r="J301" s="40" t="n"/>
      <c r="K301" s="40" t="n"/>
      <c r="L301" s="41" t="n"/>
      <c r="M301" s="42">
        <f>IF(OR($C301="",$E301="",$H301="",$K301="Cancelada"),"",IF(COUNTIFS($A$5:$A$504,$A301,$H$5:$H$504,$H301,$K$5:$K$504,"&lt;&gt;Cancelada",$C$5:$C$504,"&lt;"&amp;$E301,$E$5:$E$504,"&gt;"&amp;$C301)&gt;1,"Se solapa con otra actividad en esta sala",""))</f>
        <v/>
      </c>
    </row>
    <row r="302" ht="21" customHeight="1">
      <c r="A302" s="35" t="n"/>
      <c r="B302" s="36" t="n"/>
      <c r="C302" s="37">
        <f>IF($A302="","",IF($B302&lt;&gt;"",$B302,IF($A302=$A301,$E301,Configuración!$C$5)))</f>
        <v/>
      </c>
      <c r="D302" s="38" t="n"/>
      <c r="E302" s="37">
        <f>IF(OR($C302="",$D302=""),"",$C302+$D302/1440)</f>
        <v/>
      </c>
      <c r="F302" s="39" t="n"/>
      <c r="G302" s="40" t="n"/>
      <c r="H302" s="40" t="n"/>
      <c r="I302" s="40" t="n"/>
      <c r="J302" s="40" t="n"/>
      <c r="K302" s="40" t="n"/>
      <c r="L302" s="41" t="n"/>
      <c r="M302" s="42">
        <f>IF(OR($C302="",$E302="",$H302="",$K302="Cancelada"),"",IF(COUNTIFS($A$5:$A$504,$A302,$H$5:$H$504,$H302,$K$5:$K$504,"&lt;&gt;Cancelada",$C$5:$C$504,"&lt;"&amp;$E302,$E$5:$E$504,"&gt;"&amp;$C302)&gt;1,"Se solapa con otra actividad en esta sala",""))</f>
        <v/>
      </c>
    </row>
    <row r="303" ht="21" customHeight="1">
      <c r="A303" s="35" t="n"/>
      <c r="B303" s="36" t="n"/>
      <c r="C303" s="37">
        <f>IF($A303="","",IF($B303&lt;&gt;"",$B303,IF($A303=$A302,$E302,Configuración!$C$5)))</f>
        <v/>
      </c>
      <c r="D303" s="38" t="n"/>
      <c r="E303" s="37">
        <f>IF(OR($C303="",$D303=""),"",$C303+$D303/1440)</f>
        <v/>
      </c>
      <c r="F303" s="39" t="n"/>
      <c r="G303" s="40" t="n"/>
      <c r="H303" s="40" t="n"/>
      <c r="I303" s="40" t="n"/>
      <c r="J303" s="40" t="n"/>
      <c r="K303" s="40" t="n"/>
      <c r="L303" s="41" t="n"/>
      <c r="M303" s="42">
        <f>IF(OR($C303="",$E303="",$H303="",$K303="Cancelada"),"",IF(COUNTIFS($A$5:$A$504,$A303,$H$5:$H$504,$H303,$K$5:$K$504,"&lt;&gt;Cancelada",$C$5:$C$504,"&lt;"&amp;$E303,$E$5:$E$504,"&gt;"&amp;$C303)&gt;1,"Se solapa con otra actividad en esta sala",""))</f>
        <v/>
      </c>
    </row>
    <row r="304" ht="21" customHeight="1">
      <c r="A304" s="35" t="n"/>
      <c r="B304" s="36" t="n"/>
      <c r="C304" s="37">
        <f>IF($A304="","",IF($B304&lt;&gt;"",$B304,IF($A304=$A303,$E303,Configuración!$C$5)))</f>
        <v/>
      </c>
      <c r="D304" s="38" t="n"/>
      <c r="E304" s="37">
        <f>IF(OR($C304="",$D304=""),"",$C304+$D304/1440)</f>
        <v/>
      </c>
      <c r="F304" s="39" t="n"/>
      <c r="G304" s="40" t="n"/>
      <c r="H304" s="40" t="n"/>
      <c r="I304" s="40" t="n"/>
      <c r="J304" s="40" t="n"/>
      <c r="K304" s="40" t="n"/>
      <c r="L304" s="41" t="n"/>
      <c r="M304" s="42">
        <f>IF(OR($C304="",$E304="",$H304="",$K304="Cancelada"),"",IF(COUNTIFS($A$5:$A$504,$A304,$H$5:$H$504,$H304,$K$5:$K$504,"&lt;&gt;Cancelada",$C$5:$C$504,"&lt;"&amp;$E304,$E$5:$E$504,"&gt;"&amp;$C304)&gt;1,"Se solapa con otra actividad en esta sala",""))</f>
        <v/>
      </c>
    </row>
    <row r="305" ht="21" customHeight="1">
      <c r="A305" s="35" t="n"/>
      <c r="B305" s="36" t="n"/>
      <c r="C305" s="37">
        <f>IF($A305="","",IF($B305&lt;&gt;"",$B305,IF($A305=$A304,$E304,Configuración!$C$5)))</f>
        <v/>
      </c>
      <c r="D305" s="38" t="n"/>
      <c r="E305" s="37">
        <f>IF(OR($C305="",$D305=""),"",$C305+$D305/1440)</f>
        <v/>
      </c>
      <c r="F305" s="39" t="n"/>
      <c r="G305" s="40" t="n"/>
      <c r="H305" s="40" t="n"/>
      <c r="I305" s="40" t="n"/>
      <c r="J305" s="40" t="n"/>
      <c r="K305" s="40" t="n"/>
      <c r="L305" s="41" t="n"/>
      <c r="M305" s="42">
        <f>IF(OR($C305="",$E305="",$H305="",$K305="Cancelada"),"",IF(COUNTIFS($A$5:$A$504,$A305,$H$5:$H$504,$H305,$K$5:$K$504,"&lt;&gt;Cancelada",$C$5:$C$504,"&lt;"&amp;$E305,$E$5:$E$504,"&gt;"&amp;$C305)&gt;1,"Se solapa con otra actividad en esta sala",""))</f>
        <v/>
      </c>
    </row>
    <row r="306" ht="21" customHeight="1">
      <c r="A306" s="35" t="n"/>
      <c r="B306" s="36" t="n"/>
      <c r="C306" s="37">
        <f>IF($A306="","",IF($B306&lt;&gt;"",$B306,IF($A306=$A305,$E305,Configuración!$C$5)))</f>
        <v/>
      </c>
      <c r="D306" s="38" t="n"/>
      <c r="E306" s="37">
        <f>IF(OR($C306="",$D306=""),"",$C306+$D306/1440)</f>
        <v/>
      </c>
      <c r="F306" s="39" t="n"/>
      <c r="G306" s="40" t="n"/>
      <c r="H306" s="40" t="n"/>
      <c r="I306" s="40" t="n"/>
      <c r="J306" s="40" t="n"/>
      <c r="K306" s="40" t="n"/>
      <c r="L306" s="41" t="n"/>
      <c r="M306" s="42">
        <f>IF(OR($C306="",$E306="",$H306="",$K306="Cancelada"),"",IF(COUNTIFS($A$5:$A$504,$A306,$H$5:$H$504,$H306,$K$5:$K$504,"&lt;&gt;Cancelada",$C$5:$C$504,"&lt;"&amp;$E306,$E$5:$E$504,"&gt;"&amp;$C306)&gt;1,"Se solapa con otra actividad en esta sala",""))</f>
        <v/>
      </c>
    </row>
    <row r="307" ht="21" customHeight="1">
      <c r="A307" s="35" t="n"/>
      <c r="B307" s="36" t="n"/>
      <c r="C307" s="37">
        <f>IF($A307="","",IF($B307&lt;&gt;"",$B307,IF($A307=$A306,$E306,Configuración!$C$5)))</f>
        <v/>
      </c>
      <c r="D307" s="38" t="n"/>
      <c r="E307" s="37">
        <f>IF(OR($C307="",$D307=""),"",$C307+$D307/1440)</f>
        <v/>
      </c>
      <c r="F307" s="39" t="n"/>
      <c r="G307" s="40" t="n"/>
      <c r="H307" s="40" t="n"/>
      <c r="I307" s="40" t="n"/>
      <c r="J307" s="40" t="n"/>
      <c r="K307" s="40" t="n"/>
      <c r="L307" s="41" t="n"/>
      <c r="M307" s="42">
        <f>IF(OR($C307="",$E307="",$H307="",$K307="Cancelada"),"",IF(COUNTIFS($A$5:$A$504,$A307,$H$5:$H$504,$H307,$K$5:$K$504,"&lt;&gt;Cancelada",$C$5:$C$504,"&lt;"&amp;$E307,$E$5:$E$504,"&gt;"&amp;$C307)&gt;1,"Se solapa con otra actividad en esta sala",""))</f>
        <v/>
      </c>
    </row>
    <row r="308" ht="21" customHeight="1">
      <c r="A308" s="35" t="n"/>
      <c r="B308" s="36" t="n"/>
      <c r="C308" s="37">
        <f>IF($A308="","",IF($B308&lt;&gt;"",$B308,IF($A308=$A307,$E307,Configuración!$C$5)))</f>
        <v/>
      </c>
      <c r="D308" s="38" t="n"/>
      <c r="E308" s="37">
        <f>IF(OR($C308="",$D308=""),"",$C308+$D308/1440)</f>
        <v/>
      </c>
      <c r="F308" s="39" t="n"/>
      <c r="G308" s="40" t="n"/>
      <c r="H308" s="40" t="n"/>
      <c r="I308" s="40" t="n"/>
      <c r="J308" s="40" t="n"/>
      <c r="K308" s="40" t="n"/>
      <c r="L308" s="41" t="n"/>
      <c r="M308" s="42">
        <f>IF(OR($C308="",$E308="",$H308="",$K308="Cancelada"),"",IF(COUNTIFS($A$5:$A$504,$A308,$H$5:$H$504,$H308,$K$5:$K$504,"&lt;&gt;Cancelada",$C$5:$C$504,"&lt;"&amp;$E308,$E$5:$E$504,"&gt;"&amp;$C308)&gt;1,"Se solapa con otra actividad en esta sala",""))</f>
        <v/>
      </c>
    </row>
    <row r="309" ht="21" customHeight="1">
      <c r="A309" s="35" t="n"/>
      <c r="B309" s="36" t="n"/>
      <c r="C309" s="37">
        <f>IF($A309="","",IF($B309&lt;&gt;"",$B309,IF($A309=$A308,$E308,Configuración!$C$5)))</f>
        <v/>
      </c>
      <c r="D309" s="38" t="n"/>
      <c r="E309" s="37">
        <f>IF(OR($C309="",$D309=""),"",$C309+$D309/1440)</f>
        <v/>
      </c>
      <c r="F309" s="39" t="n"/>
      <c r="G309" s="40" t="n"/>
      <c r="H309" s="40" t="n"/>
      <c r="I309" s="40" t="n"/>
      <c r="J309" s="40" t="n"/>
      <c r="K309" s="40" t="n"/>
      <c r="L309" s="41" t="n"/>
      <c r="M309" s="42">
        <f>IF(OR($C309="",$E309="",$H309="",$K309="Cancelada"),"",IF(COUNTIFS($A$5:$A$504,$A309,$H$5:$H$504,$H309,$K$5:$K$504,"&lt;&gt;Cancelada",$C$5:$C$504,"&lt;"&amp;$E309,$E$5:$E$504,"&gt;"&amp;$C309)&gt;1,"Se solapa con otra actividad en esta sala",""))</f>
        <v/>
      </c>
    </row>
    <row r="310" ht="21" customHeight="1">
      <c r="A310" s="35" t="n"/>
      <c r="B310" s="36" t="n"/>
      <c r="C310" s="37">
        <f>IF($A310="","",IF($B310&lt;&gt;"",$B310,IF($A310=$A309,$E309,Configuración!$C$5)))</f>
        <v/>
      </c>
      <c r="D310" s="38" t="n"/>
      <c r="E310" s="37">
        <f>IF(OR($C310="",$D310=""),"",$C310+$D310/1440)</f>
        <v/>
      </c>
      <c r="F310" s="39" t="n"/>
      <c r="G310" s="40" t="n"/>
      <c r="H310" s="40" t="n"/>
      <c r="I310" s="40" t="n"/>
      <c r="J310" s="40" t="n"/>
      <c r="K310" s="40" t="n"/>
      <c r="L310" s="41" t="n"/>
      <c r="M310" s="42">
        <f>IF(OR($C310="",$E310="",$H310="",$K310="Cancelada"),"",IF(COUNTIFS($A$5:$A$504,$A310,$H$5:$H$504,$H310,$K$5:$K$504,"&lt;&gt;Cancelada",$C$5:$C$504,"&lt;"&amp;$E310,$E$5:$E$504,"&gt;"&amp;$C310)&gt;1,"Se solapa con otra actividad en esta sala",""))</f>
        <v/>
      </c>
    </row>
    <row r="311" ht="21" customHeight="1">
      <c r="A311" s="35" t="n"/>
      <c r="B311" s="36" t="n"/>
      <c r="C311" s="37">
        <f>IF($A311="","",IF($B311&lt;&gt;"",$B311,IF($A311=$A310,$E310,Configuración!$C$5)))</f>
        <v/>
      </c>
      <c r="D311" s="38" t="n"/>
      <c r="E311" s="37">
        <f>IF(OR($C311="",$D311=""),"",$C311+$D311/1440)</f>
        <v/>
      </c>
      <c r="F311" s="39" t="n"/>
      <c r="G311" s="40" t="n"/>
      <c r="H311" s="40" t="n"/>
      <c r="I311" s="40" t="n"/>
      <c r="J311" s="40" t="n"/>
      <c r="K311" s="40" t="n"/>
      <c r="L311" s="41" t="n"/>
      <c r="M311" s="42">
        <f>IF(OR($C311="",$E311="",$H311="",$K311="Cancelada"),"",IF(COUNTIFS($A$5:$A$504,$A311,$H$5:$H$504,$H311,$K$5:$K$504,"&lt;&gt;Cancelada",$C$5:$C$504,"&lt;"&amp;$E311,$E$5:$E$504,"&gt;"&amp;$C311)&gt;1,"Se solapa con otra actividad en esta sala",""))</f>
        <v/>
      </c>
    </row>
    <row r="312" ht="21" customHeight="1">
      <c r="A312" s="35" t="n"/>
      <c r="B312" s="36" t="n"/>
      <c r="C312" s="37">
        <f>IF($A312="","",IF($B312&lt;&gt;"",$B312,IF($A312=$A311,$E311,Configuración!$C$5)))</f>
        <v/>
      </c>
      <c r="D312" s="38" t="n"/>
      <c r="E312" s="37">
        <f>IF(OR($C312="",$D312=""),"",$C312+$D312/1440)</f>
        <v/>
      </c>
      <c r="F312" s="39" t="n"/>
      <c r="G312" s="40" t="n"/>
      <c r="H312" s="40" t="n"/>
      <c r="I312" s="40" t="n"/>
      <c r="J312" s="40" t="n"/>
      <c r="K312" s="40" t="n"/>
      <c r="L312" s="41" t="n"/>
      <c r="M312" s="42">
        <f>IF(OR($C312="",$E312="",$H312="",$K312="Cancelada"),"",IF(COUNTIFS($A$5:$A$504,$A312,$H$5:$H$504,$H312,$K$5:$K$504,"&lt;&gt;Cancelada",$C$5:$C$504,"&lt;"&amp;$E312,$E$5:$E$504,"&gt;"&amp;$C312)&gt;1,"Se solapa con otra actividad en esta sala",""))</f>
        <v/>
      </c>
    </row>
    <row r="313" ht="21" customHeight="1">
      <c r="A313" s="35" t="n"/>
      <c r="B313" s="36" t="n"/>
      <c r="C313" s="37">
        <f>IF($A313="","",IF($B313&lt;&gt;"",$B313,IF($A313=$A312,$E312,Configuración!$C$5)))</f>
        <v/>
      </c>
      <c r="D313" s="38" t="n"/>
      <c r="E313" s="37">
        <f>IF(OR($C313="",$D313=""),"",$C313+$D313/1440)</f>
        <v/>
      </c>
      <c r="F313" s="39" t="n"/>
      <c r="G313" s="40" t="n"/>
      <c r="H313" s="40" t="n"/>
      <c r="I313" s="40" t="n"/>
      <c r="J313" s="40" t="n"/>
      <c r="K313" s="40" t="n"/>
      <c r="L313" s="41" t="n"/>
      <c r="M313" s="42">
        <f>IF(OR($C313="",$E313="",$H313="",$K313="Cancelada"),"",IF(COUNTIFS($A$5:$A$504,$A313,$H$5:$H$504,$H313,$K$5:$K$504,"&lt;&gt;Cancelada",$C$5:$C$504,"&lt;"&amp;$E313,$E$5:$E$504,"&gt;"&amp;$C313)&gt;1,"Se solapa con otra actividad en esta sala",""))</f>
        <v/>
      </c>
    </row>
    <row r="314" ht="21" customHeight="1">
      <c r="A314" s="35" t="n"/>
      <c r="B314" s="36" t="n"/>
      <c r="C314" s="37">
        <f>IF($A314="","",IF($B314&lt;&gt;"",$B314,IF($A314=$A313,$E313,Configuración!$C$5)))</f>
        <v/>
      </c>
      <c r="D314" s="38" t="n"/>
      <c r="E314" s="37">
        <f>IF(OR($C314="",$D314=""),"",$C314+$D314/1440)</f>
        <v/>
      </c>
      <c r="F314" s="39" t="n"/>
      <c r="G314" s="40" t="n"/>
      <c r="H314" s="40" t="n"/>
      <c r="I314" s="40" t="n"/>
      <c r="J314" s="40" t="n"/>
      <c r="K314" s="40" t="n"/>
      <c r="L314" s="41" t="n"/>
      <c r="M314" s="42">
        <f>IF(OR($C314="",$E314="",$H314="",$K314="Cancelada"),"",IF(COUNTIFS($A$5:$A$504,$A314,$H$5:$H$504,$H314,$K$5:$K$504,"&lt;&gt;Cancelada",$C$5:$C$504,"&lt;"&amp;$E314,$E$5:$E$504,"&gt;"&amp;$C314)&gt;1,"Se solapa con otra actividad en esta sala",""))</f>
        <v/>
      </c>
    </row>
    <row r="315" ht="21" customHeight="1">
      <c r="A315" s="35" t="n"/>
      <c r="B315" s="36" t="n"/>
      <c r="C315" s="37">
        <f>IF($A315="","",IF($B315&lt;&gt;"",$B315,IF($A315=$A314,$E314,Configuración!$C$5)))</f>
        <v/>
      </c>
      <c r="D315" s="38" t="n"/>
      <c r="E315" s="37">
        <f>IF(OR($C315="",$D315=""),"",$C315+$D315/1440)</f>
        <v/>
      </c>
      <c r="F315" s="39" t="n"/>
      <c r="G315" s="40" t="n"/>
      <c r="H315" s="40" t="n"/>
      <c r="I315" s="40" t="n"/>
      <c r="J315" s="40" t="n"/>
      <c r="K315" s="40" t="n"/>
      <c r="L315" s="41" t="n"/>
      <c r="M315" s="42">
        <f>IF(OR($C315="",$E315="",$H315="",$K315="Cancelada"),"",IF(COUNTIFS($A$5:$A$504,$A315,$H$5:$H$504,$H315,$K$5:$K$504,"&lt;&gt;Cancelada",$C$5:$C$504,"&lt;"&amp;$E315,$E$5:$E$504,"&gt;"&amp;$C315)&gt;1,"Se solapa con otra actividad en esta sala",""))</f>
        <v/>
      </c>
    </row>
    <row r="316" ht="21" customHeight="1">
      <c r="A316" s="35" t="n"/>
      <c r="B316" s="36" t="n"/>
      <c r="C316" s="37">
        <f>IF($A316="","",IF($B316&lt;&gt;"",$B316,IF($A316=$A315,$E315,Configuración!$C$5)))</f>
        <v/>
      </c>
      <c r="D316" s="38" t="n"/>
      <c r="E316" s="37">
        <f>IF(OR($C316="",$D316=""),"",$C316+$D316/1440)</f>
        <v/>
      </c>
      <c r="F316" s="39" t="n"/>
      <c r="G316" s="40" t="n"/>
      <c r="H316" s="40" t="n"/>
      <c r="I316" s="40" t="n"/>
      <c r="J316" s="40" t="n"/>
      <c r="K316" s="40" t="n"/>
      <c r="L316" s="41" t="n"/>
      <c r="M316" s="42">
        <f>IF(OR($C316="",$E316="",$H316="",$K316="Cancelada"),"",IF(COUNTIFS($A$5:$A$504,$A316,$H$5:$H$504,$H316,$K$5:$K$504,"&lt;&gt;Cancelada",$C$5:$C$504,"&lt;"&amp;$E316,$E$5:$E$504,"&gt;"&amp;$C316)&gt;1,"Se solapa con otra actividad en esta sala",""))</f>
        <v/>
      </c>
    </row>
    <row r="317" ht="21" customHeight="1">
      <c r="A317" s="35" t="n"/>
      <c r="B317" s="36" t="n"/>
      <c r="C317" s="37">
        <f>IF($A317="","",IF($B317&lt;&gt;"",$B317,IF($A317=$A316,$E316,Configuración!$C$5)))</f>
        <v/>
      </c>
      <c r="D317" s="38" t="n"/>
      <c r="E317" s="37">
        <f>IF(OR($C317="",$D317=""),"",$C317+$D317/1440)</f>
        <v/>
      </c>
      <c r="F317" s="39" t="n"/>
      <c r="G317" s="40" t="n"/>
      <c r="H317" s="40" t="n"/>
      <c r="I317" s="40" t="n"/>
      <c r="J317" s="40" t="n"/>
      <c r="K317" s="40" t="n"/>
      <c r="L317" s="41" t="n"/>
      <c r="M317" s="42">
        <f>IF(OR($C317="",$E317="",$H317="",$K317="Cancelada"),"",IF(COUNTIFS($A$5:$A$504,$A317,$H$5:$H$504,$H317,$K$5:$K$504,"&lt;&gt;Cancelada",$C$5:$C$504,"&lt;"&amp;$E317,$E$5:$E$504,"&gt;"&amp;$C317)&gt;1,"Se solapa con otra actividad en esta sala",""))</f>
        <v/>
      </c>
    </row>
    <row r="318" ht="21" customHeight="1">
      <c r="A318" s="35" t="n"/>
      <c r="B318" s="36" t="n"/>
      <c r="C318" s="37">
        <f>IF($A318="","",IF($B318&lt;&gt;"",$B318,IF($A318=$A317,$E317,Configuración!$C$5)))</f>
        <v/>
      </c>
      <c r="D318" s="38" t="n"/>
      <c r="E318" s="37">
        <f>IF(OR($C318="",$D318=""),"",$C318+$D318/1440)</f>
        <v/>
      </c>
      <c r="F318" s="39" t="n"/>
      <c r="G318" s="40" t="n"/>
      <c r="H318" s="40" t="n"/>
      <c r="I318" s="40" t="n"/>
      <c r="J318" s="40" t="n"/>
      <c r="K318" s="40" t="n"/>
      <c r="L318" s="41" t="n"/>
      <c r="M318" s="42">
        <f>IF(OR($C318="",$E318="",$H318="",$K318="Cancelada"),"",IF(COUNTIFS($A$5:$A$504,$A318,$H$5:$H$504,$H318,$K$5:$K$504,"&lt;&gt;Cancelada",$C$5:$C$504,"&lt;"&amp;$E318,$E$5:$E$504,"&gt;"&amp;$C318)&gt;1,"Se solapa con otra actividad en esta sala",""))</f>
        <v/>
      </c>
    </row>
    <row r="319" ht="21" customHeight="1">
      <c r="A319" s="35" t="n"/>
      <c r="B319" s="36" t="n"/>
      <c r="C319" s="37">
        <f>IF($A319="","",IF($B319&lt;&gt;"",$B319,IF($A319=$A318,$E318,Configuración!$C$5)))</f>
        <v/>
      </c>
      <c r="D319" s="38" t="n"/>
      <c r="E319" s="37">
        <f>IF(OR($C319="",$D319=""),"",$C319+$D319/1440)</f>
        <v/>
      </c>
      <c r="F319" s="39" t="n"/>
      <c r="G319" s="40" t="n"/>
      <c r="H319" s="40" t="n"/>
      <c r="I319" s="40" t="n"/>
      <c r="J319" s="40" t="n"/>
      <c r="K319" s="40" t="n"/>
      <c r="L319" s="41" t="n"/>
      <c r="M319" s="42">
        <f>IF(OR($C319="",$E319="",$H319="",$K319="Cancelada"),"",IF(COUNTIFS($A$5:$A$504,$A319,$H$5:$H$504,$H319,$K$5:$K$504,"&lt;&gt;Cancelada",$C$5:$C$504,"&lt;"&amp;$E319,$E$5:$E$504,"&gt;"&amp;$C319)&gt;1,"Se solapa con otra actividad en esta sala",""))</f>
        <v/>
      </c>
    </row>
    <row r="320" ht="21" customHeight="1">
      <c r="A320" s="35" t="n"/>
      <c r="B320" s="36" t="n"/>
      <c r="C320" s="37">
        <f>IF($A320="","",IF($B320&lt;&gt;"",$B320,IF($A320=$A319,$E319,Configuración!$C$5)))</f>
        <v/>
      </c>
      <c r="D320" s="38" t="n"/>
      <c r="E320" s="37">
        <f>IF(OR($C320="",$D320=""),"",$C320+$D320/1440)</f>
        <v/>
      </c>
      <c r="F320" s="39" t="n"/>
      <c r="G320" s="40" t="n"/>
      <c r="H320" s="40" t="n"/>
      <c r="I320" s="40" t="n"/>
      <c r="J320" s="40" t="n"/>
      <c r="K320" s="40" t="n"/>
      <c r="L320" s="41" t="n"/>
      <c r="M320" s="42">
        <f>IF(OR($C320="",$E320="",$H320="",$K320="Cancelada"),"",IF(COUNTIFS($A$5:$A$504,$A320,$H$5:$H$504,$H320,$K$5:$K$504,"&lt;&gt;Cancelada",$C$5:$C$504,"&lt;"&amp;$E320,$E$5:$E$504,"&gt;"&amp;$C320)&gt;1,"Se solapa con otra actividad en esta sala",""))</f>
        <v/>
      </c>
    </row>
    <row r="321" ht="21" customHeight="1">
      <c r="A321" s="35" t="n"/>
      <c r="B321" s="36" t="n"/>
      <c r="C321" s="37">
        <f>IF($A321="","",IF($B321&lt;&gt;"",$B321,IF($A321=$A320,$E320,Configuración!$C$5)))</f>
        <v/>
      </c>
      <c r="D321" s="38" t="n"/>
      <c r="E321" s="37">
        <f>IF(OR($C321="",$D321=""),"",$C321+$D321/1440)</f>
        <v/>
      </c>
      <c r="F321" s="39" t="n"/>
      <c r="G321" s="40" t="n"/>
      <c r="H321" s="40" t="n"/>
      <c r="I321" s="40" t="n"/>
      <c r="J321" s="40" t="n"/>
      <c r="K321" s="40" t="n"/>
      <c r="L321" s="41" t="n"/>
      <c r="M321" s="42">
        <f>IF(OR($C321="",$E321="",$H321="",$K321="Cancelada"),"",IF(COUNTIFS($A$5:$A$504,$A321,$H$5:$H$504,$H321,$K$5:$K$504,"&lt;&gt;Cancelada",$C$5:$C$504,"&lt;"&amp;$E321,$E$5:$E$504,"&gt;"&amp;$C321)&gt;1,"Se solapa con otra actividad en esta sala",""))</f>
        <v/>
      </c>
    </row>
    <row r="322" ht="21" customHeight="1">
      <c r="A322" s="35" t="n"/>
      <c r="B322" s="36" t="n"/>
      <c r="C322" s="37">
        <f>IF($A322="","",IF($B322&lt;&gt;"",$B322,IF($A322=$A321,$E321,Configuración!$C$5)))</f>
        <v/>
      </c>
      <c r="D322" s="38" t="n"/>
      <c r="E322" s="37">
        <f>IF(OR($C322="",$D322=""),"",$C322+$D322/1440)</f>
        <v/>
      </c>
      <c r="F322" s="39" t="n"/>
      <c r="G322" s="40" t="n"/>
      <c r="H322" s="40" t="n"/>
      <c r="I322" s="40" t="n"/>
      <c r="J322" s="40" t="n"/>
      <c r="K322" s="40" t="n"/>
      <c r="L322" s="41" t="n"/>
      <c r="M322" s="42">
        <f>IF(OR($C322="",$E322="",$H322="",$K322="Cancelada"),"",IF(COUNTIFS($A$5:$A$504,$A322,$H$5:$H$504,$H322,$K$5:$K$504,"&lt;&gt;Cancelada",$C$5:$C$504,"&lt;"&amp;$E322,$E$5:$E$504,"&gt;"&amp;$C322)&gt;1,"Se solapa con otra actividad en esta sala",""))</f>
        <v/>
      </c>
    </row>
    <row r="323" ht="21" customHeight="1">
      <c r="A323" s="35" t="n"/>
      <c r="B323" s="36" t="n"/>
      <c r="C323" s="37">
        <f>IF($A323="","",IF($B323&lt;&gt;"",$B323,IF($A323=$A322,$E322,Configuración!$C$5)))</f>
        <v/>
      </c>
      <c r="D323" s="38" t="n"/>
      <c r="E323" s="37">
        <f>IF(OR($C323="",$D323=""),"",$C323+$D323/1440)</f>
        <v/>
      </c>
      <c r="F323" s="39" t="n"/>
      <c r="G323" s="40" t="n"/>
      <c r="H323" s="40" t="n"/>
      <c r="I323" s="40" t="n"/>
      <c r="J323" s="40" t="n"/>
      <c r="K323" s="40" t="n"/>
      <c r="L323" s="41" t="n"/>
      <c r="M323" s="42">
        <f>IF(OR($C323="",$E323="",$H323="",$K323="Cancelada"),"",IF(COUNTIFS($A$5:$A$504,$A323,$H$5:$H$504,$H323,$K$5:$K$504,"&lt;&gt;Cancelada",$C$5:$C$504,"&lt;"&amp;$E323,$E$5:$E$504,"&gt;"&amp;$C323)&gt;1,"Se solapa con otra actividad en esta sala",""))</f>
        <v/>
      </c>
    </row>
    <row r="324" ht="21" customHeight="1">
      <c r="A324" s="35" t="n"/>
      <c r="B324" s="36" t="n"/>
      <c r="C324" s="37">
        <f>IF($A324="","",IF($B324&lt;&gt;"",$B324,IF($A324=$A323,$E323,Configuración!$C$5)))</f>
        <v/>
      </c>
      <c r="D324" s="38" t="n"/>
      <c r="E324" s="37">
        <f>IF(OR($C324="",$D324=""),"",$C324+$D324/1440)</f>
        <v/>
      </c>
      <c r="F324" s="39" t="n"/>
      <c r="G324" s="40" t="n"/>
      <c r="H324" s="40" t="n"/>
      <c r="I324" s="40" t="n"/>
      <c r="J324" s="40" t="n"/>
      <c r="K324" s="40" t="n"/>
      <c r="L324" s="41" t="n"/>
      <c r="M324" s="42">
        <f>IF(OR($C324="",$E324="",$H324="",$K324="Cancelada"),"",IF(COUNTIFS($A$5:$A$504,$A324,$H$5:$H$504,$H324,$K$5:$K$504,"&lt;&gt;Cancelada",$C$5:$C$504,"&lt;"&amp;$E324,$E$5:$E$504,"&gt;"&amp;$C324)&gt;1,"Se solapa con otra actividad en esta sala",""))</f>
        <v/>
      </c>
    </row>
    <row r="325" ht="21" customHeight="1">
      <c r="A325" s="35" t="n"/>
      <c r="B325" s="36" t="n"/>
      <c r="C325" s="37">
        <f>IF($A325="","",IF($B325&lt;&gt;"",$B325,IF($A325=$A324,$E324,Configuración!$C$5)))</f>
        <v/>
      </c>
      <c r="D325" s="38" t="n"/>
      <c r="E325" s="37">
        <f>IF(OR($C325="",$D325=""),"",$C325+$D325/1440)</f>
        <v/>
      </c>
      <c r="F325" s="39" t="n"/>
      <c r="G325" s="40" t="n"/>
      <c r="H325" s="40" t="n"/>
      <c r="I325" s="40" t="n"/>
      <c r="J325" s="40" t="n"/>
      <c r="K325" s="40" t="n"/>
      <c r="L325" s="41" t="n"/>
      <c r="M325" s="42">
        <f>IF(OR($C325="",$E325="",$H325="",$K325="Cancelada"),"",IF(COUNTIFS($A$5:$A$504,$A325,$H$5:$H$504,$H325,$K$5:$K$504,"&lt;&gt;Cancelada",$C$5:$C$504,"&lt;"&amp;$E325,$E$5:$E$504,"&gt;"&amp;$C325)&gt;1,"Se solapa con otra actividad en esta sala",""))</f>
        <v/>
      </c>
    </row>
    <row r="326" ht="21" customHeight="1">
      <c r="A326" s="35" t="n"/>
      <c r="B326" s="36" t="n"/>
      <c r="C326" s="37">
        <f>IF($A326="","",IF($B326&lt;&gt;"",$B326,IF($A326=$A325,$E325,Configuración!$C$5)))</f>
        <v/>
      </c>
      <c r="D326" s="38" t="n"/>
      <c r="E326" s="37">
        <f>IF(OR($C326="",$D326=""),"",$C326+$D326/1440)</f>
        <v/>
      </c>
      <c r="F326" s="39" t="n"/>
      <c r="G326" s="40" t="n"/>
      <c r="H326" s="40" t="n"/>
      <c r="I326" s="40" t="n"/>
      <c r="J326" s="40" t="n"/>
      <c r="K326" s="40" t="n"/>
      <c r="L326" s="41" t="n"/>
      <c r="M326" s="42">
        <f>IF(OR($C326="",$E326="",$H326="",$K326="Cancelada"),"",IF(COUNTIFS($A$5:$A$504,$A326,$H$5:$H$504,$H326,$K$5:$K$504,"&lt;&gt;Cancelada",$C$5:$C$504,"&lt;"&amp;$E326,$E$5:$E$504,"&gt;"&amp;$C326)&gt;1,"Se solapa con otra actividad en esta sala",""))</f>
        <v/>
      </c>
    </row>
    <row r="327" ht="21" customHeight="1">
      <c r="A327" s="35" t="n"/>
      <c r="B327" s="36" t="n"/>
      <c r="C327" s="37">
        <f>IF($A327="","",IF($B327&lt;&gt;"",$B327,IF($A327=$A326,$E326,Configuración!$C$5)))</f>
        <v/>
      </c>
      <c r="D327" s="38" t="n"/>
      <c r="E327" s="37">
        <f>IF(OR($C327="",$D327=""),"",$C327+$D327/1440)</f>
        <v/>
      </c>
      <c r="F327" s="39" t="n"/>
      <c r="G327" s="40" t="n"/>
      <c r="H327" s="40" t="n"/>
      <c r="I327" s="40" t="n"/>
      <c r="J327" s="40" t="n"/>
      <c r="K327" s="40" t="n"/>
      <c r="L327" s="41" t="n"/>
      <c r="M327" s="42">
        <f>IF(OR($C327="",$E327="",$H327="",$K327="Cancelada"),"",IF(COUNTIFS($A$5:$A$504,$A327,$H$5:$H$504,$H327,$K$5:$K$504,"&lt;&gt;Cancelada",$C$5:$C$504,"&lt;"&amp;$E327,$E$5:$E$504,"&gt;"&amp;$C327)&gt;1,"Se solapa con otra actividad en esta sala",""))</f>
        <v/>
      </c>
    </row>
    <row r="328" ht="21" customHeight="1">
      <c r="A328" s="35" t="n"/>
      <c r="B328" s="36" t="n"/>
      <c r="C328" s="37">
        <f>IF($A328="","",IF($B328&lt;&gt;"",$B328,IF($A328=$A327,$E327,Configuración!$C$5)))</f>
        <v/>
      </c>
      <c r="D328" s="38" t="n"/>
      <c r="E328" s="37">
        <f>IF(OR($C328="",$D328=""),"",$C328+$D328/1440)</f>
        <v/>
      </c>
      <c r="F328" s="39" t="n"/>
      <c r="G328" s="40" t="n"/>
      <c r="H328" s="40" t="n"/>
      <c r="I328" s="40" t="n"/>
      <c r="J328" s="40" t="n"/>
      <c r="K328" s="40" t="n"/>
      <c r="L328" s="41" t="n"/>
      <c r="M328" s="42">
        <f>IF(OR($C328="",$E328="",$H328="",$K328="Cancelada"),"",IF(COUNTIFS($A$5:$A$504,$A328,$H$5:$H$504,$H328,$K$5:$K$504,"&lt;&gt;Cancelada",$C$5:$C$504,"&lt;"&amp;$E328,$E$5:$E$504,"&gt;"&amp;$C328)&gt;1,"Se solapa con otra actividad en esta sala",""))</f>
        <v/>
      </c>
    </row>
    <row r="329" ht="21" customHeight="1">
      <c r="A329" s="35" t="n"/>
      <c r="B329" s="36" t="n"/>
      <c r="C329" s="37">
        <f>IF($A329="","",IF($B329&lt;&gt;"",$B329,IF($A329=$A328,$E328,Configuración!$C$5)))</f>
        <v/>
      </c>
      <c r="D329" s="38" t="n"/>
      <c r="E329" s="37">
        <f>IF(OR($C329="",$D329=""),"",$C329+$D329/1440)</f>
        <v/>
      </c>
      <c r="F329" s="39" t="n"/>
      <c r="G329" s="40" t="n"/>
      <c r="H329" s="40" t="n"/>
      <c r="I329" s="40" t="n"/>
      <c r="J329" s="40" t="n"/>
      <c r="K329" s="40" t="n"/>
      <c r="L329" s="41" t="n"/>
      <c r="M329" s="42">
        <f>IF(OR($C329="",$E329="",$H329="",$K329="Cancelada"),"",IF(COUNTIFS($A$5:$A$504,$A329,$H$5:$H$504,$H329,$K$5:$K$504,"&lt;&gt;Cancelada",$C$5:$C$504,"&lt;"&amp;$E329,$E$5:$E$504,"&gt;"&amp;$C329)&gt;1,"Se solapa con otra actividad en esta sala",""))</f>
        <v/>
      </c>
    </row>
    <row r="330" ht="21" customHeight="1">
      <c r="A330" s="35" t="n"/>
      <c r="B330" s="36" t="n"/>
      <c r="C330" s="37">
        <f>IF($A330="","",IF($B330&lt;&gt;"",$B330,IF($A330=$A329,$E329,Configuración!$C$5)))</f>
        <v/>
      </c>
      <c r="D330" s="38" t="n"/>
      <c r="E330" s="37">
        <f>IF(OR($C330="",$D330=""),"",$C330+$D330/1440)</f>
        <v/>
      </c>
      <c r="F330" s="39" t="n"/>
      <c r="G330" s="40" t="n"/>
      <c r="H330" s="40" t="n"/>
      <c r="I330" s="40" t="n"/>
      <c r="J330" s="40" t="n"/>
      <c r="K330" s="40" t="n"/>
      <c r="L330" s="41" t="n"/>
      <c r="M330" s="42">
        <f>IF(OR($C330="",$E330="",$H330="",$K330="Cancelada"),"",IF(COUNTIFS($A$5:$A$504,$A330,$H$5:$H$504,$H330,$K$5:$K$504,"&lt;&gt;Cancelada",$C$5:$C$504,"&lt;"&amp;$E330,$E$5:$E$504,"&gt;"&amp;$C330)&gt;1,"Se solapa con otra actividad en esta sala",""))</f>
        <v/>
      </c>
    </row>
    <row r="331" ht="21" customHeight="1">
      <c r="A331" s="35" t="n"/>
      <c r="B331" s="36" t="n"/>
      <c r="C331" s="37">
        <f>IF($A331="","",IF($B331&lt;&gt;"",$B331,IF($A331=$A330,$E330,Configuración!$C$5)))</f>
        <v/>
      </c>
      <c r="D331" s="38" t="n"/>
      <c r="E331" s="37">
        <f>IF(OR($C331="",$D331=""),"",$C331+$D331/1440)</f>
        <v/>
      </c>
      <c r="F331" s="39" t="n"/>
      <c r="G331" s="40" t="n"/>
      <c r="H331" s="40" t="n"/>
      <c r="I331" s="40" t="n"/>
      <c r="J331" s="40" t="n"/>
      <c r="K331" s="40" t="n"/>
      <c r="L331" s="41" t="n"/>
      <c r="M331" s="42">
        <f>IF(OR($C331="",$E331="",$H331="",$K331="Cancelada"),"",IF(COUNTIFS($A$5:$A$504,$A331,$H$5:$H$504,$H331,$K$5:$K$504,"&lt;&gt;Cancelada",$C$5:$C$504,"&lt;"&amp;$E331,$E$5:$E$504,"&gt;"&amp;$C331)&gt;1,"Se solapa con otra actividad en esta sala",""))</f>
        <v/>
      </c>
    </row>
    <row r="332" ht="21" customHeight="1">
      <c r="A332" s="35" t="n"/>
      <c r="B332" s="36" t="n"/>
      <c r="C332" s="37">
        <f>IF($A332="","",IF($B332&lt;&gt;"",$B332,IF($A332=$A331,$E331,Configuración!$C$5)))</f>
        <v/>
      </c>
      <c r="D332" s="38" t="n"/>
      <c r="E332" s="37">
        <f>IF(OR($C332="",$D332=""),"",$C332+$D332/1440)</f>
        <v/>
      </c>
      <c r="F332" s="39" t="n"/>
      <c r="G332" s="40" t="n"/>
      <c r="H332" s="40" t="n"/>
      <c r="I332" s="40" t="n"/>
      <c r="J332" s="40" t="n"/>
      <c r="K332" s="40" t="n"/>
      <c r="L332" s="41" t="n"/>
      <c r="M332" s="42">
        <f>IF(OR($C332="",$E332="",$H332="",$K332="Cancelada"),"",IF(COUNTIFS($A$5:$A$504,$A332,$H$5:$H$504,$H332,$K$5:$K$504,"&lt;&gt;Cancelada",$C$5:$C$504,"&lt;"&amp;$E332,$E$5:$E$504,"&gt;"&amp;$C332)&gt;1,"Se solapa con otra actividad en esta sala",""))</f>
        <v/>
      </c>
    </row>
    <row r="333" ht="21" customHeight="1">
      <c r="A333" s="35" t="n"/>
      <c r="B333" s="36" t="n"/>
      <c r="C333" s="37">
        <f>IF($A333="","",IF($B333&lt;&gt;"",$B333,IF($A333=$A332,$E332,Configuración!$C$5)))</f>
        <v/>
      </c>
      <c r="D333" s="38" t="n"/>
      <c r="E333" s="37">
        <f>IF(OR($C333="",$D333=""),"",$C333+$D333/1440)</f>
        <v/>
      </c>
      <c r="F333" s="39" t="n"/>
      <c r="G333" s="40" t="n"/>
      <c r="H333" s="40" t="n"/>
      <c r="I333" s="40" t="n"/>
      <c r="J333" s="40" t="n"/>
      <c r="K333" s="40" t="n"/>
      <c r="L333" s="41" t="n"/>
      <c r="M333" s="42">
        <f>IF(OR($C333="",$E333="",$H333="",$K333="Cancelada"),"",IF(COUNTIFS($A$5:$A$504,$A333,$H$5:$H$504,$H333,$K$5:$K$504,"&lt;&gt;Cancelada",$C$5:$C$504,"&lt;"&amp;$E333,$E$5:$E$504,"&gt;"&amp;$C333)&gt;1,"Se solapa con otra actividad en esta sala",""))</f>
        <v/>
      </c>
    </row>
    <row r="334" ht="21" customHeight="1">
      <c r="A334" s="35" t="n"/>
      <c r="B334" s="36" t="n"/>
      <c r="C334" s="37">
        <f>IF($A334="","",IF($B334&lt;&gt;"",$B334,IF($A334=$A333,$E333,Configuración!$C$5)))</f>
        <v/>
      </c>
      <c r="D334" s="38" t="n"/>
      <c r="E334" s="37">
        <f>IF(OR($C334="",$D334=""),"",$C334+$D334/1440)</f>
        <v/>
      </c>
      <c r="F334" s="39" t="n"/>
      <c r="G334" s="40" t="n"/>
      <c r="H334" s="40" t="n"/>
      <c r="I334" s="40" t="n"/>
      <c r="J334" s="40" t="n"/>
      <c r="K334" s="40" t="n"/>
      <c r="L334" s="41" t="n"/>
      <c r="M334" s="42">
        <f>IF(OR($C334="",$E334="",$H334="",$K334="Cancelada"),"",IF(COUNTIFS($A$5:$A$504,$A334,$H$5:$H$504,$H334,$K$5:$K$504,"&lt;&gt;Cancelada",$C$5:$C$504,"&lt;"&amp;$E334,$E$5:$E$504,"&gt;"&amp;$C334)&gt;1,"Se solapa con otra actividad en esta sala",""))</f>
        <v/>
      </c>
    </row>
    <row r="335" ht="21" customHeight="1">
      <c r="A335" s="35" t="n"/>
      <c r="B335" s="36" t="n"/>
      <c r="C335" s="37">
        <f>IF($A335="","",IF($B335&lt;&gt;"",$B335,IF($A335=$A334,$E334,Configuración!$C$5)))</f>
        <v/>
      </c>
      <c r="D335" s="38" t="n"/>
      <c r="E335" s="37">
        <f>IF(OR($C335="",$D335=""),"",$C335+$D335/1440)</f>
        <v/>
      </c>
      <c r="F335" s="39" t="n"/>
      <c r="G335" s="40" t="n"/>
      <c r="H335" s="40" t="n"/>
      <c r="I335" s="40" t="n"/>
      <c r="J335" s="40" t="n"/>
      <c r="K335" s="40" t="n"/>
      <c r="L335" s="41" t="n"/>
      <c r="M335" s="42">
        <f>IF(OR($C335="",$E335="",$H335="",$K335="Cancelada"),"",IF(COUNTIFS($A$5:$A$504,$A335,$H$5:$H$504,$H335,$K$5:$K$504,"&lt;&gt;Cancelada",$C$5:$C$504,"&lt;"&amp;$E335,$E$5:$E$504,"&gt;"&amp;$C335)&gt;1,"Se solapa con otra actividad en esta sala",""))</f>
        <v/>
      </c>
    </row>
    <row r="336" ht="21" customHeight="1">
      <c r="A336" s="35" t="n"/>
      <c r="B336" s="36" t="n"/>
      <c r="C336" s="37">
        <f>IF($A336="","",IF($B336&lt;&gt;"",$B336,IF($A336=$A335,$E335,Configuración!$C$5)))</f>
        <v/>
      </c>
      <c r="D336" s="38" t="n"/>
      <c r="E336" s="37">
        <f>IF(OR($C336="",$D336=""),"",$C336+$D336/1440)</f>
        <v/>
      </c>
      <c r="F336" s="39" t="n"/>
      <c r="G336" s="40" t="n"/>
      <c r="H336" s="40" t="n"/>
      <c r="I336" s="40" t="n"/>
      <c r="J336" s="40" t="n"/>
      <c r="K336" s="40" t="n"/>
      <c r="L336" s="41" t="n"/>
      <c r="M336" s="42">
        <f>IF(OR($C336="",$E336="",$H336="",$K336="Cancelada"),"",IF(COUNTIFS($A$5:$A$504,$A336,$H$5:$H$504,$H336,$K$5:$K$504,"&lt;&gt;Cancelada",$C$5:$C$504,"&lt;"&amp;$E336,$E$5:$E$504,"&gt;"&amp;$C336)&gt;1,"Se solapa con otra actividad en esta sala",""))</f>
        <v/>
      </c>
    </row>
    <row r="337" ht="21" customHeight="1">
      <c r="A337" s="35" t="n"/>
      <c r="B337" s="36" t="n"/>
      <c r="C337" s="37">
        <f>IF($A337="","",IF($B337&lt;&gt;"",$B337,IF($A337=$A336,$E336,Configuración!$C$5)))</f>
        <v/>
      </c>
      <c r="D337" s="38" t="n"/>
      <c r="E337" s="37">
        <f>IF(OR($C337="",$D337=""),"",$C337+$D337/1440)</f>
        <v/>
      </c>
      <c r="F337" s="39" t="n"/>
      <c r="G337" s="40" t="n"/>
      <c r="H337" s="40" t="n"/>
      <c r="I337" s="40" t="n"/>
      <c r="J337" s="40" t="n"/>
      <c r="K337" s="40" t="n"/>
      <c r="L337" s="41" t="n"/>
      <c r="M337" s="42">
        <f>IF(OR($C337="",$E337="",$H337="",$K337="Cancelada"),"",IF(COUNTIFS($A$5:$A$504,$A337,$H$5:$H$504,$H337,$K$5:$K$504,"&lt;&gt;Cancelada",$C$5:$C$504,"&lt;"&amp;$E337,$E$5:$E$504,"&gt;"&amp;$C337)&gt;1,"Se solapa con otra actividad en esta sala",""))</f>
        <v/>
      </c>
    </row>
    <row r="338" ht="21" customHeight="1">
      <c r="A338" s="35" t="n"/>
      <c r="B338" s="36" t="n"/>
      <c r="C338" s="37">
        <f>IF($A338="","",IF($B338&lt;&gt;"",$B338,IF($A338=$A337,$E337,Configuración!$C$5)))</f>
        <v/>
      </c>
      <c r="D338" s="38" t="n"/>
      <c r="E338" s="37">
        <f>IF(OR($C338="",$D338=""),"",$C338+$D338/1440)</f>
        <v/>
      </c>
      <c r="F338" s="39" t="n"/>
      <c r="G338" s="40" t="n"/>
      <c r="H338" s="40" t="n"/>
      <c r="I338" s="40" t="n"/>
      <c r="J338" s="40" t="n"/>
      <c r="K338" s="40" t="n"/>
      <c r="L338" s="41" t="n"/>
      <c r="M338" s="42">
        <f>IF(OR($C338="",$E338="",$H338="",$K338="Cancelada"),"",IF(COUNTIFS($A$5:$A$504,$A338,$H$5:$H$504,$H338,$K$5:$K$504,"&lt;&gt;Cancelada",$C$5:$C$504,"&lt;"&amp;$E338,$E$5:$E$504,"&gt;"&amp;$C338)&gt;1,"Se solapa con otra actividad en esta sala",""))</f>
        <v/>
      </c>
    </row>
    <row r="339" ht="21" customHeight="1">
      <c r="A339" s="35" t="n"/>
      <c r="B339" s="36" t="n"/>
      <c r="C339" s="37">
        <f>IF($A339="","",IF($B339&lt;&gt;"",$B339,IF($A339=$A338,$E338,Configuración!$C$5)))</f>
        <v/>
      </c>
      <c r="D339" s="38" t="n"/>
      <c r="E339" s="37">
        <f>IF(OR($C339="",$D339=""),"",$C339+$D339/1440)</f>
        <v/>
      </c>
      <c r="F339" s="39" t="n"/>
      <c r="G339" s="40" t="n"/>
      <c r="H339" s="40" t="n"/>
      <c r="I339" s="40" t="n"/>
      <c r="J339" s="40" t="n"/>
      <c r="K339" s="40" t="n"/>
      <c r="L339" s="41" t="n"/>
      <c r="M339" s="42">
        <f>IF(OR($C339="",$E339="",$H339="",$K339="Cancelada"),"",IF(COUNTIFS($A$5:$A$504,$A339,$H$5:$H$504,$H339,$K$5:$K$504,"&lt;&gt;Cancelada",$C$5:$C$504,"&lt;"&amp;$E339,$E$5:$E$504,"&gt;"&amp;$C339)&gt;1,"Se solapa con otra actividad en esta sala",""))</f>
        <v/>
      </c>
    </row>
    <row r="340" ht="21" customHeight="1">
      <c r="A340" s="35" t="n"/>
      <c r="B340" s="36" t="n"/>
      <c r="C340" s="37">
        <f>IF($A340="","",IF($B340&lt;&gt;"",$B340,IF($A340=$A339,$E339,Configuración!$C$5)))</f>
        <v/>
      </c>
      <c r="D340" s="38" t="n"/>
      <c r="E340" s="37">
        <f>IF(OR($C340="",$D340=""),"",$C340+$D340/1440)</f>
        <v/>
      </c>
      <c r="F340" s="39" t="n"/>
      <c r="G340" s="40" t="n"/>
      <c r="H340" s="40" t="n"/>
      <c r="I340" s="40" t="n"/>
      <c r="J340" s="40" t="n"/>
      <c r="K340" s="40" t="n"/>
      <c r="L340" s="41" t="n"/>
      <c r="M340" s="42">
        <f>IF(OR($C340="",$E340="",$H340="",$K340="Cancelada"),"",IF(COUNTIFS($A$5:$A$504,$A340,$H$5:$H$504,$H340,$K$5:$K$504,"&lt;&gt;Cancelada",$C$5:$C$504,"&lt;"&amp;$E340,$E$5:$E$504,"&gt;"&amp;$C340)&gt;1,"Se solapa con otra actividad en esta sala",""))</f>
        <v/>
      </c>
    </row>
    <row r="341" ht="21" customHeight="1">
      <c r="A341" s="35" t="n"/>
      <c r="B341" s="36" t="n"/>
      <c r="C341" s="37">
        <f>IF($A341="","",IF($B341&lt;&gt;"",$B341,IF($A341=$A340,$E340,Configuración!$C$5)))</f>
        <v/>
      </c>
      <c r="D341" s="38" t="n"/>
      <c r="E341" s="37">
        <f>IF(OR($C341="",$D341=""),"",$C341+$D341/1440)</f>
        <v/>
      </c>
      <c r="F341" s="39" t="n"/>
      <c r="G341" s="40" t="n"/>
      <c r="H341" s="40" t="n"/>
      <c r="I341" s="40" t="n"/>
      <c r="J341" s="40" t="n"/>
      <c r="K341" s="40" t="n"/>
      <c r="L341" s="41" t="n"/>
      <c r="M341" s="42">
        <f>IF(OR($C341="",$E341="",$H341="",$K341="Cancelada"),"",IF(COUNTIFS($A$5:$A$504,$A341,$H$5:$H$504,$H341,$K$5:$K$504,"&lt;&gt;Cancelada",$C$5:$C$504,"&lt;"&amp;$E341,$E$5:$E$504,"&gt;"&amp;$C341)&gt;1,"Se solapa con otra actividad en esta sala",""))</f>
        <v/>
      </c>
    </row>
    <row r="342" ht="21" customHeight="1">
      <c r="A342" s="35" t="n"/>
      <c r="B342" s="36" t="n"/>
      <c r="C342" s="37">
        <f>IF($A342="","",IF($B342&lt;&gt;"",$B342,IF($A342=$A341,$E341,Configuración!$C$5)))</f>
        <v/>
      </c>
      <c r="D342" s="38" t="n"/>
      <c r="E342" s="37">
        <f>IF(OR($C342="",$D342=""),"",$C342+$D342/1440)</f>
        <v/>
      </c>
      <c r="F342" s="39" t="n"/>
      <c r="G342" s="40" t="n"/>
      <c r="H342" s="40" t="n"/>
      <c r="I342" s="40" t="n"/>
      <c r="J342" s="40" t="n"/>
      <c r="K342" s="40" t="n"/>
      <c r="L342" s="41" t="n"/>
      <c r="M342" s="42">
        <f>IF(OR($C342="",$E342="",$H342="",$K342="Cancelada"),"",IF(COUNTIFS($A$5:$A$504,$A342,$H$5:$H$504,$H342,$K$5:$K$504,"&lt;&gt;Cancelada",$C$5:$C$504,"&lt;"&amp;$E342,$E$5:$E$504,"&gt;"&amp;$C342)&gt;1,"Se solapa con otra actividad en esta sala",""))</f>
        <v/>
      </c>
    </row>
    <row r="343" ht="21" customHeight="1">
      <c r="A343" s="35" t="n"/>
      <c r="B343" s="36" t="n"/>
      <c r="C343" s="37">
        <f>IF($A343="","",IF($B343&lt;&gt;"",$B343,IF($A343=$A342,$E342,Configuración!$C$5)))</f>
        <v/>
      </c>
      <c r="D343" s="38" t="n"/>
      <c r="E343" s="37">
        <f>IF(OR($C343="",$D343=""),"",$C343+$D343/1440)</f>
        <v/>
      </c>
      <c r="F343" s="39" t="n"/>
      <c r="G343" s="40" t="n"/>
      <c r="H343" s="40" t="n"/>
      <c r="I343" s="40" t="n"/>
      <c r="J343" s="40" t="n"/>
      <c r="K343" s="40" t="n"/>
      <c r="L343" s="41" t="n"/>
      <c r="M343" s="42">
        <f>IF(OR($C343="",$E343="",$H343="",$K343="Cancelada"),"",IF(COUNTIFS($A$5:$A$504,$A343,$H$5:$H$504,$H343,$K$5:$K$504,"&lt;&gt;Cancelada",$C$5:$C$504,"&lt;"&amp;$E343,$E$5:$E$504,"&gt;"&amp;$C343)&gt;1,"Se solapa con otra actividad en esta sala",""))</f>
        <v/>
      </c>
    </row>
    <row r="344" ht="21" customHeight="1">
      <c r="A344" s="35" t="n"/>
      <c r="B344" s="36" t="n"/>
      <c r="C344" s="37">
        <f>IF($A344="","",IF($B344&lt;&gt;"",$B344,IF($A344=$A343,$E343,Configuración!$C$5)))</f>
        <v/>
      </c>
      <c r="D344" s="38" t="n"/>
      <c r="E344" s="37">
        <f>IF(OR($C344="",$D344=""),"",$C344+$D344/1440)</f>
        <v/>
      </c>
      <c r="F344" s="39" t="n"/>
      <c r="G344" s="40" t="n"/>
      <c r="H344" s="40" t="n"/>
      <c r="I344" s="40" t="n"/>
      <c r="J344" s="40" t="n"/>
      <c r="K344" s="40" t="n"/>
      <c r="L344" s="41" t="n"/>
      <c r="M344" s="42">
        <f>IF(OR($C344="",$E344="",$H344="",$K344="Cancelada"),"",IF(COUNTIFS($A$5:$A$504,$A344,$H$5:$H$504,$H344,$K$5:$K$504,"&lt;&gt;Cancelada",$C$5:$C$504,"&lt;"&amp;$E344,$E$5:$E$504,"&gt;"&amp;$C344)&gt;1,"Se solapa con otra actividad en esta sala",""))</f>
        <v/>
      </c>
    </row>
    <row r="345" ht="21" customHeight="1">
      <c r="A345" s="35" t="n"/>
      <c r="B345" s="36" t="n"/>
      <c r="C345" s="37">
        <f>IF($A345="","",IF($B345&lt;&gt;"",$B345,IF($A345=$A344,$E344,Configuración!$C$5)))</f>
        <v/>
      </c>
      <c r="D345" s="38" t="n"/>
      <c r="E345" s="37">
        <f>IF(OR($C345="",$D345=""),"",$C345+$D345/1440)</f>
        <v/>
      </c>
      <c r="F345" s="39" t="n"/>
      <c r="G345" s="40" t="n"/>
      <c r="H345" s="40" t="n"/>
      <c r="I345" s="40" t="n"/>
      <c r="J345" s="40" t="n"/>
      <c r="K345" s="40" t="n"/>
      <c r="L345" s="41" t="n"/>
      <c r="M345" s="42">
        <f>IF(OR($C345="",$E345="",$H345="",$K345="Cancelada"),"",IF(COUNTIFS($A$5:$A$504,$A345,$H$5:$H$504,$H345,$K$5:$K$504,"&lt;&gt;Cancelada",$C$5:$C$504,"&lt;"&amp;$E345,$E$5:$E$504,"&gt;"&amp;$C345)&gt;1,"Se solapa con otra actividad en esta sala",""))</f>
        <v/>
      </c>
    </row>
    <row r="346" ht="21" customHeight="1">
      <c r="A346" s="35" t="n"/>
      <c r="B346" s="36" t="n"/>
      <c r="C346" s="37">
        <f>IF($A346="","",IF($B346&lt;&gt;"",$B346,IF($A346=$A345,$E345,Configuración!$C$5)))</f>
        <v/>
      </c>
      <c r="D346" s="38" t="n"/>
      <c r="E346" s="37">
        <f>IF(OR($C346="",$D346=""),"",$C346+$D346/1440)</f>
        <v/>
      </c>
      <c r="F346" s="39" t="n"/>
      <c r="G346" s="40" t="n"/>
      <c r="H346" s="40" t="n"/>
      <c r="I346" s="40" t="n"/>
      <c r="J346" s="40" t="n"/>
      <c r="K346" s="40" t="n"/>
      <c r="L346" s="41" t="n"/>
      <c r="M346" s="42">
        <f>IF(OR($C346="",$E346="",$H346="",$K346="Cancelada"),"",IF(COUNTIFS($A$5:$A$504,$A346,$H$5:$H$504,$H346,$K$5:$K$504,"&lt;&gt;Cancelada",$C$5:$C$504,"&lt;"&amp;$E346,$E$5:$E$504,"&gt;"&amp;$C346)&gt;1,"Se solapa con otra actividad en esta sala",""))</f>
        <v/>
      </c>
    </row>
    <row r="347" ht="21" customHeight="1">
      <c r="A347" s="35" t="n"/>
      <c r="B347" s="36" t="n"/>
      <c r="C347" s="37">
        <f>IF($A347="","",IF($B347&lt;&gt;"",$B347,IF($A347=$A346,$E346,Configuración!$C$5)))</f>
        <v/>
      </c>
      <c r="D347" s="38" t="n"/>
      <c r="E347" s="37">
        <f>IF(OR($C347="",$D347=""),"",$C347+$D347/1440)</f>
        <v/>
      </c>
      <c r="F347" s="39" t="n"/>
      <c r="G347" s="40" t="n"/>
      <c r="H347" s="40" t="n"/>
      <c r="I347" s="40" t="n"/>
      <c r="J347" s="40" t="n"/>
      <c r="K347" s="40" t="n"/>
      <c r="L347" s="41" t="n"/>
      <c r="M347" s="42">
        <f>IF(OR($C347="",$E347="",$H347="",$K347="Cancelada"),"",IF(COUNTIFS($A$5:$A$504,$A347,$H$5:$H$504,$H347,$K$5:$K$504,"&lt;&gt;Cancelada",$C$5:$C$504,"&lt;"&amp;$E347,$E$5:$E$504,"&gt;"&amp;$C347)&gt;1,"Se solapa con otra actividad en esta sala",""))</f>
        <v/>
      </c>
    </row>
    <row r="348" ht="21" customHeight="1">
      <c r="A348" s="35" t="n"/>
      <c r="B348" s="36" t="n"/>
      <c r="C348" s="37">
        <f>IF($A348="","",IF($B348&lt;&gt;"",$B348,IF($A348=$A347,$E347,Configuración!$C$5)))</f>
        <v/>
      </c>
      <c r="D348" s="38" t="n"/>
      <c r="E348" s="37">
        <f>IF(OR($C348="",$D348=""),"",$C348+$D348/1440)</f>
        <v/>
      </c>
      <c r="F348" s="39" t="n"/>
      <c r="G348" s="40" t="n"/>
      <c r="H348" s="40" t="n"/>
      <c r="I348" s="40" t="n"/>
      <c r="J348" s="40" t="n"/>
      <c r="K348" s="40" t="n"/>
      <c r="L348" s="41" t="n"/>
      <c r="M348" s="42">
        <f>IF(OR($C348="",$E348="",$H348="",$K348="Cancelada"),"",IF(COUNTIFS($A$5:$A$504,$A348,$H$5:$H$504,$H348,$K$5:$K$504,"&lt;&gt;Cancelada",$C$5:$C$504,"&lt;"&amp;$E348,$E$5:$E$504,"&gt;"&amp;$C348)&gt;1,"Se solapa con otra actividad en esta sala",""))</f>
        <v/>
      </c>
    </row>
    <row r="349" ht="21" customHeight="1">
      <c r="A349" s="35" t="n"/>
      <c r="B349" s="36" t="n"/>
      <c r="C349" s="37">
        <f>IF($A349="","",IF($B349&lt;&gt;"",$B349,IF($A349=$A348,$E348,Configuración!$C$5)))</f>
        <v/>
      </c>
      <c r="D349" s="38" t="n"/>
      <c r="E349" s="37">
        <f>IF(OR($C349="",$D349=""),"",$C349+$D349/1440)</f>
        <v/>
      </c>
      <c r="F349" s="39" t="n"/>
      <c r="G349" s="40" t="n"/>
      <c r="H349" s="40" t="n"/>
      <c r="I349" s="40" t="n"/>
      <c r="J349" s="40" t="n"/>
      <c r="K349" s="40" t="n"/>
      <c r="L349" s="41" t="n"/>
      <c r="M349" s="42">
        <f>IF(OR($C349="",$E349="",$H349="",$K349="Cancelada"),"",IF(COUNTIFS($A$5:$A$504,$A349,$H$5:$H$504,$H349,$K$5:$K$504,"&lt;&gt;Cancelada",$C$5:$C$504,"&lt;"&amp;$E349,$E$5:$E$504,"&gt;"&amp;$C349)&gt;1,"Se solapa con otra actividad en esta sala",""))</f>
        <v/>
      </c>
    </row>
    <row r="350" ht="21" customHeight="1">
      <c r="A350" s="35" t="n"/>
      <c r="B350" s="36" t="n"/>
      <c r="C350" s="37">
        <f>IF($A350="","",IF($B350&lt;&gt;"",$B350,IF($A350=$A349,$E349,Configuración!$C$5)))</f>
        <v/>
      </c>
      <c r="D350" s="38" t="n"/>
      <c r="E350" s="37">
        <f>IF(OR($C350="",$D350=""),"",$C350+$D350/1440)</f>
        <v/>
      </c>
      <c r="F350" s="39" t="n"/>
      <c r="G350" s="40" t="n"/>
      <c r="H350" s="40" t="n"/>
      <c r="I350" s="40" t="n"/>
      <c r="J350" s="40" t="n"/>
      <c r="K350" s="40" t="n"/>
      <c r="L350" s="41" t="n"/>
      <c r="M350" s="42">
        <f>IF(OR($C350="",$E350="",$H350="",$K350="Cancelada"),"",IF(COUNTIFS($A$5:$A$504,$A350,$H$5:$H$504,$H350,$K$5:$K$504,"&lt;&gt;Cancelada",$C$5:$C$504,"&lt;"&amp;$E350,$E$5:$E$504,"&gt;"&amp;$C350)&gt;1,"Se solapa con otra actividad en esta sala",""))</f>
        <v/>
      </c>
    </row>
    <row r="351" ht="21" customHeight="1">
      <c r="A351" s="35" t="n"/>
      <c r="B351" s="36" t="n"/>
      <c r="C351" s="37">
        <f>IF($A351="","",IF($B351&lt;&gt;"",$B351,IF($A351=$A350,$E350,Configuración!$C$5)))</f>
        <v/>
      </c>
      <c r="D351" s="38" t="n"/>
      <c r="E351" s="37">
        <f>IF(OR($C351="",$D351=""),"",$C351+$D351/1440)</f>
        <v/>
      </c>
      <c r="F351" s="39" t="n"/>
      <c r="G351" s="40" t="n"/>
      <c r="H351" s="40" t="n"/>
      <c r="I351" s="40" t="n"/>
      <c r="J351" s="40" t="n"/>
      <c r="K351" s="40" t="n"/>
      <c r="L351" s="41" t="n"/>
      <c r="M351" s="42">
        <f>IF(OR($C351="",$E351="",$H351="",$K351="Cancelada"),"",IF(COUNTIFS($A$5:$A$504,$A351,$H$5:$H$504,$H351,$K$5:$K$504,"&lt;&gt;Cancelada",$C$5:$C$504,"&lt;"&amp;$E351,$E$5:$E$504,"&gt;"&amp;$C351)&gt;1,"Se solapa con otra actividad en esta sala",""))</f>
        <v/>
      </c>
    </row>
    <row r="352" ht="21" customHeight="1">
      <c r="A352" s="35" t="n"/>
      <c r="B352" s="36" t="n"/>
      <c r="C352" s="37">
        <f>IF($A352="","",IF($B352&lt;&gt;"",$B352,IF($A352=$A351,$E351,Configuración!$C$5)))</f>
        <v/>
      </c>
      <c r="D352" s="38" t="n"/>
      <c r="E352" s="37">
        <f>IF(OR($C352="",$D352=""),"",$C352+$D352/1440)</f>
        <v/>
      </c>
      <c r="F352" s="39" t="n"/>
      <c r="G352" s="40" t="n"/>
      <c r="H352" s="40" t="n"/>
      <c r="I352" s="40" t="n"/>
      <c r="J352" s="40" t="n"/>
      <c r="K352" s="40" t="n"/>
      <c r="L352" s="41" t="n"/>
      <c r="M352" s="42">
        <f>IF(OR($C352="",$E352="",$H352="",$K352="Cancelada"),"",IF(COUNTIFS($A$5:$A$504,$A352,$H$5:$H$504,$H352,$K$5:$K$504,"&lt;&gt;Cancelada",$C$5:$C$504,"&lt;"&amp;$E352,$E$5:$E$504,"&gt;"&amp;$C352)&gt;1,"Se solapa con otra actividad en esta sala",""))</f>
        <v/>
      </c>
    </row>
    <row r="353" ht="21" customHeight="1">
      <c r="A353" s="35" t="n"/>
      <c r="B353" s="36" t="n"/>
      <c r="C353" s="37">
        <f>IF($A353="","",IF($B353&lt;&gt;"",$B353,IF($A353=$A352,$E352,Configuración!$C$5)))</f>
        <v/>
      </c>
      <c r="D353" s="38" t="n"/>
      <c r="E353" s="37">
        <f>IF(OR($C353="",$D353=""),"",$C353+$D353/1440)</f>
        <v/>
      </c>
      <c r="F353" s="39" t="n"/>
      <c r="G353" s="40" t="n"/>
      <c r="H353" s="40" t="n"/>
      <c r="I353" s="40" t="n"/>
      <c r="J353" s="40" t="n"/>
      <c r="K353" s="40" t="n"/>
      <c r="L353" s="41" t="n"/>
      <c r="M353" s="42">
        <f>IF(OR($C353="",$E353="",$H353="",$K353="Cancelada"),"",IF(COUNTIFS($A$5:$A$504,$A353,$H$5:$H$504,$H353,$K$5:$K$504,"&lt;&gt;Cancelada",$C$5:$C$504,"&lt;"&amp;$E353,$E$5:$E$504,"&gt;"&amp;$C353)&gt;1,"Se solapa con otra actividad en esta sala",""))</f>
        <v/>
      </c>
    </row>
    <row r="354" ht="21" customHeight="1">
      <c r="A354" s="35" t="n"/>
      <c r="B354" s="36" t="n"/>
      <c r="C354" s="37">
        <f>IF($A354="","",IF($B354&lt;&gt;"",$B354,IF($A354=$A353,$E353,Configuración!$C$5)))</f>
        <v/>
      </c>
      <c r="D354" s="38" t="n"/>
      <c r="E354" s="37">
        <f>IF(OR($C354="",$D354=""),"",$C354+$D354/1440)</f>
        <v/>
      </c>
      <c r="F354" s="39" t="n"/>
      <c r="G354" s="40" t="n"/>
      <c r="H354" s="40" t="n"/>
      <c r="I354" s="40" t="n"/>
      <c r="J354" s="40" t="n"/>
      <c r="K354" s="40" t="n"/>
      <c r="L354" s="41" t="n"/>
      <c r="M354" s="42">
        <f>IF(OR($C354="",$E354="",$H354="",$K354="Cancelada"),"",IF(COUNTIFS($A$5:$A$504,$A354,$H$5:$H$504,$H354,$K$5:$K$504,"&lt;&gt;Cancelada",$C$5:$C$504,"&lt;"&amp;$E354,$E$5:$E$504,"&gt;"&amp;$C354)&gt;1,"Se solapa con otra actividad en esta sala",""))</f>
        <v/>
      </c>
    </row>
    <row r="355" ht="21" customHeight="1">
      <c r="A355" s="35" t="n"/>
      <c r="B355" s="36" t="n"/>
      <c r="C355" s="37">
        <f>IF($A355="","",IF($B355&lt;&gt;"",$B355,IF($A355=$A354,$E354,Configuración!$C$5)))</f>
        <v/>
      </c>
      <c r="D355" s="38" t="n"/>
      <c r="E355" s="37">
        <f>IF(OR($C355="",$D355=""),"",$C355+$D355/1440)</f>
        <v/>
      </c>
      <c r="F355" s="39" t="n"/>
      <c r="G355" s="40" t="n"/>
      <c r="H355" s="40" t="n"/>
      <c r="I355" s="40" t="n"/>
      <c r="J355" s="40" t="n"/>
      <c r="K355" s="40" t="n"/>
      <c r="L355" s="41" t="n"/>
      <c r="M355" s="42">
        <f>IF(OR($C355="",$E355="",$H355="",$K355="Cancelada"),"",IF(COUNTIFS($A$5:$A$504,$A355,$H$5:$H$504,$H355,$K$5:$K$504,"&lt;&gt;Cancelada",$C$5:$C$504,"&lt;"&amp;$E355,$E$5:$E$504,"&gt;"&amp;$C355)&gt;1,"Se solapa con otra actividad en esta sala",""))</f>
        <v/>
      </c>
    </row>
    <row r="356" ht="21" customHeight="1">
      <c r="A356" s="35" t="n"/>
      <c r="B356" s="36" t="n"/>
      <c r="C356" s="37">
        <f>IF($A356="","",IF($B356&lt;&gt;"",$B356,IF($A356=$A355,$E355,Configuración!$C$5)))</f>
        <v/>
      </c>
      <c r="D356" s="38" t="n"/>
      <c r="E356" s="37">
        <f>IF(OR($C356="",$D356=""),"",$C356+$D356/1440)</f>
        <v/>
      </c>
      <c r="F356" s="39" t="n"/>
      <c r="G356" s="40" t="n"/>
      <c r="H356" s="40" t="n"/>
      <c r="I356" s="40" t="n"/>
      <c r="J356" s="40" t="n"/>
      <c r="K356" s="40" t="n"/>
      <c r="L356" s="41" t="n"/>
      <c r="M356" s="42">
        <f>IF(OR($C356="",$E356="",$H356="",$K356="Cancelada"),"",IF(COUNTIFS($A$5:$A$504,$A356,$H$5:$H$504,$H356,$K$5:$K$504,"&lt;&gt;Cancelada",$C$5:$C$504,"&lt;"&amp;$E356,$E$5:$E$504,"&gt;"&amp;$C356)&gt;1,"Se solapa con otra actividad en esta sala",""))</f>
        <v/>
      </c>
    </row>
    <row r="357" ht="21" customHeight="1">
      <c r="A357" s="35" t="n"/>
      <c r="B357" s="36" t="n"/>
      <c r="C357" s="37">
        <f>IF($A357="","",IF($B357&lt;&gt;"",$B357,IF($A357=$A356,$E356,Configuración!$C$5)))</f>
        <v/>
      </c>
      <c r="D357" s="38" t="n"/>
      <c r="E357" s="37">
        <f>IF(OR($C357="",$D357=""),"",$C357+$D357/1440)</f>
        <v/>
      </c>
      <c r="F357" s="39" t="n"/>
      <c r="G357" s="40" t="n"/>
      <c r="H357" s="40" t="n"/>
      <c r="I357" s="40" t="n"/>
      <c r="J357" s="40" t="n"/>
      <c r="K357" s="40" t="n"/>
      <c r="L357" s="41" t="n"/>
      <c r="M357" s="42">
        <f>IF(OR($C357="",$E357="",$H357="",$K357="Cancelada"),"",IF(COUNTIFS($A$5:$A$504,$A357,$H$5:$H$504,$H357,$K$5:$K$504,"&lt;&gt;Cancelada",$C$5:$C$504,"&lt;"&amp;$E357,$E$5:$E$504,"&gt;"&amp;$C357)&gt;1,"Se solapa con otra actividad en esta sala",""))</f>
        <v/>
      </c>
    </row>
    <row r="358" ht="21" customHeight="1">
      <c r="A358" s="35" t="n"/>
      <c r="B358" s="36" t="n"/>
      <c r="C358" s="37">
        <f>IF($A358="","",IF($B358&lt;&gt;"",$B358,IF($A358=$A357,$E357,Configuración!$C$5)))</f>
        <v/>
      </c>
      <c r="D358" s="38" t="n"/>
      <c r="E358" s="37">
        <f>IF(OR($C358="",$D358=""),"",$C358+$D358/1440)</f>
        <v/>
      </c>
      <c r="F358" s="39" t="n"/>
      <c r="G358" s="40" t="n"/>
      <c r="H358" s="40" t="n"/>
      <c r="I358" s="40" t="n"/>
      <c r="J358" s="40" t="n"/>
      <c r="K358" s="40" t="n"/>
      <c r="L358" s="41" t="n"/>
      <c r="M358" s="42">
        <f>IF(OR($C358="",$E358="",$H358="",$K358="Cancelada"),"",IF(COUNTIFS($A$5:$A$504,$A358,$H$5:$H$504,$H358,$K$5:$K$504,"&lt;&gt;Cancelada",$C$5:$C$504,"&lt;"&amp;$E358,$E$5:$E$504,"&gt;"&amp;$C358)&gt;1,"Se solapa con otra actividad en esta sala",""))</f>
        <v/>
      </c>
    </row>
    <row r="359" ht="21" customHeight="1">
      <c r="A359" s="35" t="n"/>
      <c r="B359" s="36" t="n"/>
      <c r="C359" s="37">
        <f>IF($A359="","",IF($B359&lt;&gt;"",$B359,IF($A359=$A358,$E358,Configuración!$C$5)))</f>
        <v/>
      </c>
      <c r="D359" s="38" t="n"/>
      <c r="E359" s="37">
        <f>IF(OR($C359="",$D359=""),"",$C359+$D359/1440)</f>
        <v/>
      </c>
      <c r="F359" s="39" t="n"/>
      <c r="G359" s="40" t="n"/>
      <c r="H359" s="40" t="n"/>
      <c r="I359" s="40" t="n"/>
      <c r="J359" s="40" t="n"/>
      <c r="K359" s="40" t="n"/>
      <c r="L359" s="41" t="n"/>
      <c r="M359" s="42">
        <f>IF(OR($C359="",$E359="",$H359="",$K359="Cancelada"),"",IF(COUNTIFS($A$5:$A$504,$A359,$H$5:$H$504,$H359,$K$5:$K$504,"&lt;&gt;Cancelada",$C$5:$C$504,"&lt;"&amp;$E359,$E$5:$E$504,"&gt;"&amp;$C359)&gt;1,"Se solapa con otra actividad en esta sala",""))</f>
        <v/>
      </c>
    </row>
    <row r="360" ht="21" customHeight="1">
      <c r="A360" s="35" t="n"/>
      <c r="B360" s="36" t="n"/>
      <c r="C360" s="37">
        <f>IF($A360="","",IF($B360&lt;&gt;"",$B360,IF($A360=$A359,$E359,Configuración!$C$5)))</f>
        <v/>
      </c>
      <c r="D360" s="38" t="n"/>
      <c r="E360" s="37">
        <f>IF(OR($C360="",$D360=""),"",$C360+$D360/1440)</f>
        <v/>
      </c>
      <c r="F360" s="39" t="n"/>
      <c r="G360" s="40" t="n"/>
      <c r="H360" s="40" t="n"/>
      <c r="I360" s="40" t="n"/>
      <c r="J360" s="40" t="n"/>
      <c r="K360" s="40" t="n"/>
      <c r="L360" s="41" t="n"/>
      <c r="M360" s="42">
        <f>IF(OR($C360="",$E360="",$H360="",$K360="Cancelada"),"",IF(COUNTIFS($A$5:$A$504,$A360,$H$5:$H$504,$H360,$K$5:$K$504,"&lt;&gt;Cancelada",$C$5:$C$504,"&lt;"&amp;$E360,$E$5:$E$504,"&gt;"&amp;$C360)&gt;1,"Se solapa con otra actividad en esta sala",""))</f>
        <v/>
      </c>
    </row>
    <row r="361" ht="21" customHeight="1">
      <c r="A361" s="35" t="n"/>
      <c r="B361" s="36" t="n"/>
      <c r="C361" s="37">
        <f>IF($A361="","",IF($B361&lt;&gt;"",$B361,IF($A361=$A360,$E360,Configuración!$C$5)))</f>
        <v/>
      </c>
      <c r="D361" s="38" t="n"/>
      <c r="E361" s="37">
        <f>IF(OR($C361="",$D361=""),"",$C361+$D361/1440)</f>
        <v/>
      </c>
      <c r="F361" s="39" t="n"/>
      <c r="G361" s="40" t="n"/>
      <c r="H361" s="40" t="n"/>
      <c r="I361" s="40" t="n"/>
      <c r="J361" s="40" t="n"/>
      <c r="K361" s="40" t="n"/>
      <c r="L361" s="41" t="n"/>
      <c r="M361" s="42">
        <f>IF(OR($C361="",$E361="",$H361="",$K361="Cancelada"),"",IF(COUNTIFS($A$5:$A$504,$A361,$H$5:$H$504,$H361,$K$5:$K$504,"&lt;&gt;Cancelada",$C$5:$C$504,"&lt;"&amp;$E361,$E$5:$E$504,"&gt;"&amp;$C361)&gt;1,"Se solapa con otra actividad en esta sala",""))</f>
        <v/>
      </c>
    </row>
    <row r="362" ht="21" customHeight="1">
      <c r="A362" s="35" t="n"/>
      <c r="B362" s="36" t="n"/>
      <c r="C362" s="37">
        <f>IF($A362="","",IF($B362&lt;&gt;"",$B362,IF($A362=$A361,$E361,Configuración!$C$5)))</f>
        <v/>
      </c>
      <c r="D362" s="38" t="n"/>
      <c r="E362" s="37">
        <f>IF(OR($C362="",$D362=""),"",$C362+$D362/1440)</f>
        <v/>
      </c>
      <c r="F362" s="39" t="n"/>
      <c r="G362" s="40" t="n"/>
      <c r="H362" s="40" t="n"/>
      <c r="I362" s="40" t="n"/>
      <c r="J362" s="40" t="n"/>
      <c r="K362" s="40" t="n"/>
      <c r="L362" s="41" t="n"/>
      <c r="M362" s="42">
        <f>IF(OR($C362="",$E362="",$H362="",$K362="Cancelada"),"",IF(COUNTIFS($A$5:$A$504,$A362,$H$5:$H$504,$H362,$K$5:$K$504,"&lt;&gt;Cancelada",$C$5:$C$504,"&lt;"&amp;$E362,$E$5:$E$504,"&gt;"&amp;$C362)&gt;1,"Se solapa con otra actividad en esta sala",""))</f>
        <v/>
      </c>
    </row>
    <row r="363" ht="21" customHeight="1">
      <c r="A363" s="35" t="n"/>
      <c r="B363" s="36" t="n"/>
      <c r="C363" s="37">
        <f>IF($A363="","",IF($B363&lt;&gt;"",$B363,IF($A363=$A362,$E362,Configuración!$C$5)))</f>
        <v/>
      </c>
      <c r="D363" s="38" t="n"/>
      <c r="E363" s="37">
        <f>IF(OR($C363="",$D363=""),"",$C363+$D363/1440)</f>
        <v/>
      </c>
      <c r="F363" s="39" t="n"/>
      <c r="G363" s="40" t="n"/>
      <c r="H363" s="40" t="n"/>
      <c r="I363" s="40" t="n"/>
      <c r="J363" s="40" t="n"/>
      <c r="K363" s="40" t="n"/>
      <c r="L363" s="41" t="n"/>
      <c r="M363" s="42">
        <f>IF(OR($C363="",$E363="",$H363="",$K363="Cancelada"),"",IF(COUNTIFS($A$5:$A$504,$A363,$H$5:$H$504,$H363,$K$5:$K$504,"&lt;&gt;Cancelada",$C$5:$C$504,"&lt;"&amp;$E363,$E$5:$E$504,"&gt;"&amp;$C363)&gt;1,"Se solapa con otra actividad en esta sala",""))</f>
        <v/>
      </c>
    </row>
    <row r="364" ht="21" customHeight="1">
      <c r="A364" s="35" t="n"/>
      <c r="B364" s="36" t="n"/>
      <c r="C364" s="37">
        <f>IF($A364="","",IF($B364&lt;&gt;"",$B364,IF($A364=$A363,$E363,Configuración!$C$5)))</f>
        <v/>
      </c>
      <c r="D364" s="38" t="n"/>
      <c r="E364" s="37">
        <f>IF(OR($C364="",$D364=""),"",$C364+$D364/1440)</f>
        <v/>
      </c>
      <c r="F364" s="39" t="n"/>
      <c r="G364" s="40" t="n"/>
      <c r="H364" s="40" t="n"/>
      <c r="I364" s="40" t="n"/>
      <c r="J364" s="40" t="n"/>
      <c r="K364" s="40" t="n"/>
      <c r="L364" s="41" t="n"/>
      <c r="M364" s="42">
        <f>IF(OR($C364="",$E364="",$H364="",$K364="Cancelada"),"",IF(COUNTIFS($A$5:$A$504,$A364,$H$5:$H$504,$H364,$K$5:$K$504,"&lt;&gt;Cancelada",$C$5:$C$504,"&lt;"&amp;$E364,$E$5:$E$504,"&gt;"&amp;$C364)&gt;1,"Se solapa con otra actividad en esta sala",""))</f>
        <v/>
      </c>
    </row>
    <row r="365" ht="21" customHeight="1">
      <c r="A365" s="35" t="n"/>
      <c r="B365" s="36" t="n"/>
      <c r="C365" s="37">
        <f>IF($A365="","",IF($B365&lt;&gt;"",$B365,IF($A365=$A364,$E364,Configuración!$C$5)))</f>
        <v/>
      </c>
      <c r="D365" s="38" t="n"/>
      <c r="E365" s="37">
        <f>IF(OR($C365="",$D365=""),"",$C365+$D365/1440)</f>
        <v/>
      </c>
      <c r="F365" s="39" t="n"/>
      <c r="G365" s="40" t="n"/>
      <c r="H365" s="40" t="n"/>
      <c r="I365" s="40" t="n"/>
      <c r="J365" s="40" t="n"/>
      <c r="K365" s="40" t="n"/>
      <c r="L365" s="41" t="n"/>
      <c r="M365" s="42">
        <f>IF(OR($C365="",$E365="",$H365="",$K365="Cancelada"),"",IF(COUNTIFS($A$5:$A$504,$A365,$H$5:$H$504,$H365,$K$5:$K$504,"&lt;&gt;Cancelada",$C$5:$C$504,"&lt;"&amp;$E365,$E$5:$E$504,"&gt;"&amp;$C365)&gt;1,"Se solapa con otra actividad en esta sala",""))</f>
        <v/>
      </c>
    </row>
    <row r="366" ht="21" customHeight="1">
      <c r="A366" s="35" t="n"/>
      <c r="B366" s="36" t="n"/>
      <c r="C366" s="37">
        <f>IF($A366="","",IF($B366&lt;&gt;"",$B366,IF($A366=$A365,$E365,Configuración!$C$5)))</f>
        <v/>
      </c>
      <c r="D366" s="38" t="n"/>
      <c r="E366" s="37">
        <f>IF(OR($C366="",$D366=""),"",$C366+$D366/1440)</f>
        <v/>
      </c>
      <c r="F366" s="39" t="n"/>
      <c r="G366" s="40" t="n"/>
      <c r="H366" s="40" t="n"/>
      <c r="I366" s="40" t="n"/>
      <c r="J366" s="40" t="n"/>
      <c r="K366" s="40" t="n"/>
      <c r="L366" s="41" t="n"/>
      <c r="M366" s="42">
        <f>IF(OR($C366="",$E366="",$H366="",$K366="Cancelada"),"",IF(COUNTIFS($A$5:$A$504,$A366,$H$5:$H$504,$H366,$K$5:$K$504,"&lt;&gt;Cancelada",$C$5:$C$504,"&lt;"&amp;$E366,$E$5:$E$504,"&gt;"&amp;$C366)&gt;1,"Se solapa con otra actividad en esta sala",""))</f>
        <v/>
      </c>
    </row>
    <row r="367" ht="21" customHeight="1">
      <c r="A367" s="35" t="n"/>
      <c r="B367" s="36" t="n"/>
      <c r="C367" s="37">
        <f>IF($A367="","",IF($B367&lt;&gt;"",$B367,IF($A367=$A366,$E366,Configuración!$C$5)))</f>
        <v/>
      </c>
      <c r="D367" s="38" t="n"/>
      <c r="E367" s="37">
        <f>IF(OR($C367="",$D367=""),"",$C367+$D367/1440)</f>
        <v/>
      </c>
      <c r="F367" s="39" t="n"/>
      <c r="G367" s="40" t="n"/>
      <c r="H367" s="40" t="n"/>
      <c r="I367" s="40" t="n"/>
      <c r="J367" s="40" t="n"/>
      <c r="K367" s="40" t="n"/>
      <c r="L367" s="41" t="n"/>
      <c r="M367" s="42">
        <f>IF(OR($C367="",$E367="",$H367="",$K367="Cancelada"),"",IF(COUNTIFS($A$5:$A$504,$A367,$H$5:$H$504,$H367,$K$5:$K$504,"&lt;&gt;Cancelada",$C$5:$C$504,"&lt;"&amp;$E367,$E$5:$E$504,"&gt;"&amp;$C367)&gt;1,"Se solapa con otra actividad en esta sala",""))</f>
        <v/>
      </c>
    </row>
    <row r="368" ht="21" customHeight="1">
      <c r="A368" s="35" t="n"/>
      <c r="B368" s="36" t="n"/>
      <c r="C368" s="37">
        <f>IF($A368="","",IF($B368&lt;&gt;"",$B368,IF($A368=$A367,$E367,Configuración!$C$5)))</f>
        <v/>
      </c>
      <c r="D368" s="38" t="n"/>
      <c r="E368" s="37">
        <f>IF(OR($C368="",$D368=""),"",$C368+$D368/1440)</f>
        <v/>
      </c>
      <c r="F368" s="39" t="n"/>
      <c r="G368" s="40" t="n"/>
      <c r="H368" s="40" t="n"/>
      <c r="I368" s="40" t="n"/>
      <c r="J368" s="40" t="n"/>
      <c r="K368" s="40" t="n"/>
      <c r="L368" s="41" t="n"/>
      <c r="M368" s="42">
        <f>IF(OR($C368="",$E368="",$H368="",$K368="Cancelada"),"",IF(COUNTIFS($A$5:$A$504,$A368,$H$5:$H$504,$H368,$K$5:$K$504,"&lt;&gt;Cancelada",$C$5:$C$504,"&lt;"&amp;$E368,$E$5:$E$504,"&gt;"&amp;$C368)&gt;1,"Se solapa con otra actividad en esta sala",""))</f>
        <v/>
      </c>
    </row>
    <row r="369" ht="21" customHeight="1">
      <c r="A369" s="35" t="n"/>
      <c r="B369" s="36" t="n"/>
      <c r="C369" s="37">
        <f>IF($A369="","",IF($B369&lt;&gt;"",$B369,IF($A369=$A368,$E368,Configuración!$C$5)))</f>
        <v/>
      </c>
      <c r="D369" s="38" t="n"/>
      <c r="E369" s="37">
        <f>IF(OR($C369="",$D369=""),"",$C369+$D369/1440)</f>
        <v/>
      </c>
      <c r="F369" s="39" t="n"/>
      <c r="G369" s="40" t="n"/>
      <c r="H369" s="40" t="n"/>
      <c r="I369" s="40" t="n"/>
      <c r="J369" s="40" t="n"/>
      <c r="K369" s="40" t="n"/>
      <c r="L369" s="41" t="n"/>
      <c r="M369" s="42">
        <f>IF(OR($C369="",$E369="",$H369="",$K369="Cancelada"),"",IF(COUNTIFS($A$5:$A$504,$A369,$H$5:$H$504,$H369,$K$5:$K$504,"&lt;&gt;Cancelada",$C$5:$C$504,"&lt;"&amp;$E369,$E$5:$E$504,"&gt;"&amp;$C369)&gt;1,"Se solapa con otra actividad en esta sala",""))</f>
        <v/>
      </c>
    </row>
    <row r="370" ht="21" customHeight="1">
      <c r="A370" s="35" t="n"/>
      <c r="B370" s="36" t="n"/>
      <c r="C370" s="37">
        <f>IF($A370="","",IF($B370&lt;&gt;"",$B370,IF($A370=$A369,$E369,Configuración!$C$5)))</f>
        <v/>
      </c>
      <c r="D370" s="38" t="n"/>
      <c r="E370" s="37">
        <f>IF(OR($C370="",$D370=""),"",$C370+$D370/1440)</f>
        <v/>
      </c>
      <c r="F370" s="39" t="n"/>
      <c r="G370" s="40" t="n"/>
      <c r="H370" s="40" t="n"/>
      <c r="I370" s="40" t="n"/>
      <c r="J370" s="40" t="n"/>
      <c r="K370" s="40" t="n"/>
      <c r="L370" s="41" t="n"/>
      <c r="M370" s="42">
        <f>IF(OR($C370="",$E370="",$H370="",$K370="Cancelada"),"",IF(COUNTIFS($A$5:$A$504,$A370,$H$5:$H$504,$H370,$K$5:$K$504,"&lt;&gt;Cancelada",$C$5:$C$504,"&lt;"&amp;$E370,$E$5:$E$504,"&gt;"&amp;$C370)&gt;1,"Se solapa con otra actividad en esta sala",""))</f>
        <v/>
      </c>
    </row>
    <row r="371" ht="21" customHeight="1">
      <c r="A371" s="35" t="n"/>
      <c r="B371" s="36" t="n"/>
      <c r="C371" s="37">
        <f>IF($A371="","",IF($B371&lt;&gt;"",$B371,IF($A371=$A370,$E370,Configuración!$C$5)))</f>
        <v/>
      </c>
      <c r="D371" s="38" t="n"/>
      <c r="E371" s="37">
        <f>IF(OR($C371="",$D371=""),"",$C371+$D371/1440)</f>
        <v/>
      </c>
      <c r="F371" s="39" t="n"/>
      <c r="G371" s="40" t="n"/>
      <c r="H371" s="40" t="n"/>
      <c r="I371" s="40" t="n"/>
      <c r="J371" s="40" t="n"/>
      <c r="K371" s="40" t="n"/>
      <c r="L371" s="41" t="n"/>
      <c r="M371" s="42">
        <f>IF(OR($C371="",$E371="",$H371="",$K371="Cancelada"),"",IF(COUNTIFS($A$5:$A$504,$A371,$H$5:$H$504,$H371,$K$5:$K$504,"&lt;&gt;Cancelada",$C$5:$C$504,"&lt;"&amp;$E371,$E$5:$E$504,"&gt;"&amp;$C371)&gt;1,"Se solapa con otra actividad en esta sala",""))</f>
        <v/>
      </c>
    </row>
    <row r="372" ht="21" customHeight="1">
      <c r="A372" s="35" t="n"/>
      <c r="B372" s="36" t="n"/>
      <c r="C372" s="37">
        <f>IF($A372="","",IF($B372&lt;&gt;"",$B372,IF($A372=$A371,$E371,Configuración!$C$5)))</f>
        <v/>
      </c>
      <c r="D372" s="38" t="n"/>
      <c r="E372" s="37">
        <f>IF(OR($C372="",$D372=""),"",$C372+$D372/1440)</f>
        <v/>
      </c>
      <c r="F372" s="39" t="n"/>
      <c r="G372" s="40" t="n"/>
      <c r="H372" s="40" t="n"/>
      <c r="I372" s="40" t="n"/>
      <c r="J372" s="40" t="n"/>
      <c r="K372" s="40" t="n"/>
      <c r="L372" s="41" t="n"/>
      <c r="M372" s="42">
        <f>IF(OR($C372="",$E372="",$H372="",$K372="Cancelada"),"",IF(COUNTIFS($A$5:$A$504,$A372,$H$5:$H$504,$H372,$K$5:$K$504,"&lt;&gt;Cancelada",$C$5:$C$504,"&lt;"&amp;$E372,$E$5:$E$504,"&gt;"&amp;$C372)&gt;1,"Se solapa con otra actividad en esta sala",""))</f>
        <v/>
      </c>
    </row>
    <row r="373" ht="21" customHeight="1">
      <c r="A373" s="35" t="n"/>
      <c r="B373" s="36" t="n"/>
      <c r="C373" s="37">
        <f>IF($A373="","",IF($B373&lt;&gt;"",$B373,IF($A373=$A372,$E372,Configuración!$C$5)))</f>
        <v/>
      </c>
      <c r="D373" s="38" t="n"/>
      <c r="E373" s="37">
        <f>IF(OR($C373="",$D373=""),"",$C373+$D373/1440)</f>
        <v/>
      </c>
      <c r="F373" s="39" t="n"/>
      <c r="G373" s="40" t="n"/>
      <c r="H373" s="40" t="n"/>
      <c r="I373" s="40" t="n"/>
      <c r="J373" s="40" t="n"/>
      <c r="K373" s="40" t="n"/>
      <c r="L373" s="41" t="n"/>
      <c r="M373" s="42">
        <f>IF(OR($C373="",$E373="",$H373="",$K373="Cancelada"),"",IF(COUNTIFS($A$5:$A$504,$A373,$H$5:$H$504,$H373,$K$5:$K$504,"&lt;&gt;Cancelada",$C$5:$C$504,"&lt;"&amp;$E373,$E$5:$E$504,"&gt;"&amp;$C373)&gt;1,"Se solapa con otra actividad en esta sala",""))</f>
        <v/>
      </c>
    </row>
    <row r="374" ht="21" customHeight="1">
      <c r="A374" s="35" t="n"/>
      <c r="B374" s="36" t="n"/>
      <c r="C374" s="37">
        <f>IF($A374="","",IF($B374&lt;&gt;"",$B374,IF($A374=$A373,$E373,Configuración!$C$5)))</f>
        <v/>
      </c>
      <c r="D374" s="38" t="n"/>
      <c r="E374" s="37">
        <f>IF(OR($C374="",$D374=""),"",$C374+$D374/1440)</f>
        <v/>
      </c>
      <c r="F374" s="39" t="n"/>
      <c r="G374" s="40" t="n"/>
      <c r="H374" s="40" t="n"/>
      <c r="I374" s="40" t="n"/>
      <c r="J374" s="40" t="n"/>
      <c r="K374" s="40" t="n"/>
      <c r="L374" s="41" t="n"/>
      <c r="M374" s="42">
        <f>IF(OR($C374="",$E374="",$H374="",$K374="Cancelada"),"",IF(COUNTIFS($A$5:$A$504,$A374,$H$5:$H$504,$H374,$K$5:$K$504,"&lt;&gt;Cancelada",$C$5:$C$504,"&lt;"&amp;$E374,$E$5:$E$504,"&gt;"&amp;$C374)&gt;1,"Se solapa con otra actividad en esta sala",""))</f>
        <v/>
      </c>
    </row>
    <row r="375" ht="21" customHeight="1">
      <c r="A375" s="35" t="n"/>
      <c r="B375" s="36" t="n"/>
      <c r="C375" s="37">
        <f>IF($A375="","",IF($B375&lt;&gt;"",$B375,IF($A375=$A374,$E374,Configuración!$C$5)))</f>
        <v/>
      </c>
      <c r="D375" s="38" t="n"/>
      <c r="E375" s="37">
        <f>IF(OR($C375="",$D375=""),"",$C375+$D375/1440)</f>
        <v/>
      </c>
      <c r="F375" s="39" t="n"/>
      <c r="G375" s="40" t="n"/>
      <c r="H375" s="40" t="n"/>
      <c r="I375" s="40" t="n"/>
      <c r="J375" s="40" t="n"/>
      <c r="K375" s="40" t="n"/>
      <c r="L375" s="41" t="n"/>
      <c r="M375" s="42">
        <f>IF(OR($C375="",$E375="",$H375="",$K375="Cancelada"),"",IF(COUNTIFS($A$5:$A$504,$A375,$H$5:$H$504,$H375,$K$5:$K$504,"&lt;&gt;Cancelada",$C$5:$C$504,"&lt;"&amp;$E375,$E$5:$E$504,"&gt;"&amp;$C375)&gt;1,"Se solapa con otra actividad en esta sala",""))</f>
        <v/>
      </c>
    </row>
    <row r="376" ht="21" customHeight="1">
      <c r="A376" s="35" t="n"/>
      <c r="B376" s="36" t="n"/>
      <c r="C376" s="37">
        <f>IF($A376="","",IF($B376&lt;&gt;"",$B376,IF($A376=$A375,$E375,Configuración!$C$5)))</f>
        <v/>
      </c>
      <c r="D376" s="38" t="n"/>
      <c r="E376" s="37">
        <f>IF(OR($C376="",$D376=""),"",$C376+$D376/1440)</f>
        <v/>
      </c>
      <c r="F376" s="39" t="n"/>
      <c r="G376" s="40" t="n"/>
      <c r="H376" s="40" t="n"/>
      <c r="I376" s="40" t="n"/>
      <c r="J376" s="40" t="n"/>
      <c r="K376" s="40" t="n"/>
      <c r="L376" s="41" t="n"/>
      <c r="M376" s="42">
        <f>IF(OR($C376="",$E376="",$H376="",$K376="Cancelada"),"",IF(COUNTIFS($A$5:$A$504,$A376,$H$5:$H$504,$H376,$K$5:$K$504,"&lt;&gt;Cancelada",$C$5:$C$504,"&lt;"&amp;$E376,$E$5:$E$504,"&gt;"&amp;$C376)&gt;1,"Se solapa con otra actividad en esta sala",""))</f>
        <v/>
      </c>
    </row>
    <row r="377" ht="21" customHeight="1">
      <c r="A377" s="35" t="n"/>
      <c r="B377" s="36" t="n"/>
      <c r="C377" s="37">
        <f>IF($A377="","",IF($B377&lt;&gt;"",$B377,IF($A377=$A376,$E376,Configuración!$C$5)))</f>
        <v/>
      </c>
      <c r="D377" s="38" t="n"/>
      <c r="E377" s="37">
        <f>IF(OR($C377="",$D377=""),"",$C377+$D377/1440)</f>
        <v/>
      </c>
      <c r="F377" s="39" t="n"/>
      <c r="G377" s="40" t="n"/>
      <c r="H377" s="40" t="n"/>
      <c r="I377" s="40" t="n"/>
      <c r="J377" s="40" t="n"/>
      <c r="K377" s="40" t="n"/>
      <c r="L377" s="41" t="n"/>
      <c r="M377" s="42">
        <f>IF(OR($C377="",$E377="",$H377="",$K377="Cancelada"),"",IF(COUNTIFS($A$5:$A$504,$A377,$H$5:$H$504,$H377,$K$5:$K$504,"&lt;&gt;Cancelada",$C$5:$C$504,"&lt;"&amp;$E377,$E$5:$E$504,"&gt;"&amp;$C377)&gt;1,"Se solapa con otra actividad en esta sala",""))</f>
        <v/>
      </c>
    </row>
    <row r="378" ht="21" customHeight="1">
      <c r="A378" s="35" t="n"/>
      <c r="B378" s="36" t="n"/>
      <c r="C378" s="37">
        <f>IF($A378="","",IF($B378&lt;&gt;"",$B378,IF($A378=$A377,$E377,Configuración!$C$5)))</f>
        <v/>
      </c>
      <c r="D378" s="38" t="n"/>
      <c r="E378" s="37">
        <f>IF(OR($C378="",$D378=""),"",$C378+$D378/1440)</f>
        <v/>
      </c>
      <c r="F378" s="39" t="n"/>
      <c r="G378" s="40" t="n"/>
      <c r="H378" s="40" t="n"/>
      <c r="I378" s="40" t="n"/>
      <c r="J378" s="40" t="n"/>
      <c r="K378" s="40" t="n"/>
      <c r="L378" s="41" t="n"/>
      <c r="M378" s="42">
        <f>IF(OR($C378="",$E378="",$H378="",$K378="Cancelada"),"",IF(COUNTIFS($A$5:$A$504,$A378,$H$5:$H$504,$H378,$K$5:$K$504,"&lt;&gt;Cancelada",$C$5:$C$504,"&lt;"&amp;$E378,$E$5:$E$504,"&gt;"&amp;$C378)&gt;1,"Se solapa con otra actividad en esta sala",""))</f>
        <v/>
      </c>
    </row>
    <row r="379" ht="21" customHeight="1">
      <c r="A379" s="35" t="n"/>
      <c r="B379" s="36" t="n"/>
      <c r="C379" s="37">
        <f>IF($A379="","",IF($B379&lt;&gt;"",$B379,IF($A379=$A378,$E378,Configuración!$C$5)))</f>
        <v/>
      </c>
      <c r="D379" s="38" t="n"/>
      <c r="E379" s="37">
        <f>IF(OR($C379="",$D379=""),"",$C379+$D379/1440)</f>
        <v/>
      </c>
      <c r="F379" s="39" t="n"/>
      <c r="G379" s="40" t="n"/>
      <c r="H379" s="40" t="n"/>
      <c r="I379" s="40" t="n"/>
      <c r="J379" s="40" t="n"/>
      <c r="K379" s="40" t="n"/>
      <c r="L379" s="41" t="n"/>
      <c r="M379" s="42">
        <f>IF(OR($C379="",$E379="",$H379="",$K379="Cancelada"),"",IF(COUNTIFS($A$5:$A$504,$A379,$H$5:$H$504,$H379,$K$5:$K$504,"&lt;&gt;Cancelada",$C$5:$C$504,"&lt;"&amp;$E379,$E$5:$E$504,"&gt;"&amp;$C379)&gt;1,"Se solapa con otra actividad en esta sala",""))</f>
        <v/>
      </c>
    </row>
    <row r="380" ht="21" customHeight="1">
      <c r="A380" s="35" t="n"/>
      <c r="B380" s="36" t="n"/>
      <c r="C380" s="37">
        <f>IF($A380="","",IF($B380&lt;&gt;"",$B380,IF($A380=$A379,$E379,Configuración!$C$5)))</f>
        <v/>
      </c>
      <c r="D380" s="38" t="n"/>
      <c r="E380" s="37">
        <f>IF(OR($C380="",$D380=""),"",$C380+$D380/1440)</f>
        <v/>
      </c>
      <c r="F380" s="39" t="n"/>
      <c r="G380" s="40" t="n"/>
      <c r="H380" s="40" t="n"/>
      <c r="I380" s="40" t="n"/>
      <c r="J380" s="40" t="n"/>
      <c r="K380" s="40" t="n"/>
      <c r="L380" s="41" t="n"/>
      <c r="M380" s="42">
        <f>IF(OR($C380="",$E380="",$H380="",$K380="Cancelada"),"",IF(COUNTIFS($A$5:$A$504,$A380,$H$5:$H$504,$H380,$K$5:$K$504,"&lt;&gt;Cancelada",$C$5:$C$504,"&lt;"&amp;$E380,$E$5:$E$504,"&gt;"&amp;$C380)&gt;1,"Se solapa con otra actividad en esta sala",""))</f>
        <v/>
      </c>
    </row>
    <row r="381" ht="21" customHeight="1">
      <c r="A381" s="35" t="n"/>
      <c r="B381" s="36" t="n"/>
      <c r="C381" s="37">
        <f>IF($A381="","",IF($B381&lt;&gt;"",$B381,IF($A381=$A380,$E380,Configuración!$C$5)))</f>
        <v/>
      </c>
      <c r="D381" s="38" t="n"/>
      <c r="E381" s="37">
        <f>IF(OR($C381="",$D381=""),"",$C381+$D381/1440)</f>
        <v/>
      </c>
      <c r="F381" s="39" t="n"/>
      <c r="G381" s="40" t="n"/>
      <c r="H381" s="40" t="n"/>
      <c r="I381" s="40" t="n"/>
      <c r="J381" s="40" t="n"/>
      <c r="K381" s="40" t="n"/>
      <c r="L381" s="41" t="n"/>
      <c r="M381" s="42">
        <f>IF(OR($C381="",$E381="",$H381="",$K381="Cancelada"),"",IF(COUNTIFS($A$5:$A$504,$A381,$H$5:$H$504,$H381,$K$5:$K$504,"&lt;&gt;Cancelada",$C$5:$C$504,"&lt;"&amp;$E381,$E$5:$E$504,"&gt;"&amp;$C381)&gt;1,"Se solapa con otra actividad en esta sala",""))</f>
        <v/>
      </c>
    </row>
    <row r="382" ht="21" customHeight="1">
      <c r="A382" s="35" t="n"/>
      <c r="B382" s="36" t="n"/>
      <c r="C382" s="37">
        <f>IF($A382="","",IF($B382&lt;&gt;"",$B382,IF($A382=$A381,$E381,Configuración!$C$5)))</f>
        <v/>
      </c>
      <c r="D382" s="38" t="n"/>
      <c r="E382" s="37">
        <f>IF(OR($C382="",$D382=""),"",$C382+$D382/1440)</f>
        <v/>
      </c>
      <c r="F382" s="39" t="n"/>
      <c r="G382" s="40" t="n"/>
      <c r="H382" s="40" t="n"/>
      <c r="I382" s="40" t="n"/>
      <c r="J382" s="40" t="n"/>
      <c r="K382" s="40" t="n"/>
      <c r="L382" s="41" t="n"/>
      <c r="M382" s="42">
        <f>IF(OR($C382="",$E382="",$H382="",$K382="Cancelada"),"",IF(COUNTIFS($A$5:$A$504,$A382,$H$5:$H$504,$H382,$K$5:$K$504,"&lt;&gt;Cancelada",$C$5:$C$504,"&lt;"&amp;$E382,$E$5:$E$504,"&gt;"&amp;$C382)&gt;1,"Se solapa con otra actividad en esta sala",""))</f>
        <v/>
      </c>
    </row>
    <row r="383" ht="21" customHeight="1">
      <c r="A383" s="35" t="n"/>
      <c r="B383" s="36" t="n"/>
      <c r="C383" s="37">
        <f>IF($A383="","",IF($B383&lt;&gt;"",$B383,IF($A383=$A382,$E382,Configuración!$C$5)))</f>
        <v/>
      </c>
      <c r="D383" s="38" t="n"/>
      <c r="E383" s="37">
        <f>IF(OR($C383="",$D383=""),"",$C383+$D383/1440)</f>
        <v/>
      </c>
      <c r="F383" s="39" t="n"/>
      <c r="G383" s="40" t="n"/>
      <c r="H383" s="40" t="n"/>
      <c r="I383" s="40" t="n"/>
      <c r="J383" s="40" t="n"/>
      <c r="K383" s="40" t="n"/>
      <c r="L383" s="41" t="n"/>
      <c r="M383" s="42">
        <f>IF(OR($C383="",$E383="",$H383="",$K383="Cancelada"),"",IF(COUNTIFS($A$5:$A$504,$A383,$H$5:$H$504,$H383,$K$5:$K$504,"&lt;&gt;Cancelada",$C$5:$C$504,"&lt;"&amp;$E383,$E$5:$E$504,"&gt;"&amp;$C383)&gt;1,"Se solapa con otra actividad en esta sala",""))</f>
        <v/>
      </c>
    </row>
    <row r="384" ht="21" customHeight="1">
      <c r="A384" s="35" t="n"/>
      <c r="B384" s="36" t="n"/>
      <c r="C384" s="37">
        <f>IF($A384="","",IF($B384&lt;&gt;"",$B384,IF($A384=$A383,$E383,Configuración!$C$5)))</f>
        <v/>
      </c>
      <c r="D384" s="38" t="n"/>
      <c r="E384" s="37">
        <f>IF(OR($C384="",$D384=""),"",$C384+$D384/1440)</f>
        <v/>
      </c>
      <c r="F384" s="39" t="n"/>
      <c r="G384" s="40" t="n"/>
      <c r="H384" s="40" t="n"/>
      <c r="I384" s="40" t="n"/>
      <c r="J384" s="40" t="n"/>
      <c r="K384" s="40" t="n"/>
      <c r="L384" s="41" t="n"/>
      <c r="M384" s="42">
        <f>IF(OR($C384="",$E384="",$H384="",$K384="Cancelada"),"",IF(COUNTIFS($A$5:$A$504,$A384,$H$5:$H$504,$H384,$K$5:$K$504,"&lt;&gt;Cancelada",$C$5:$C$504,"&lt;"&amp;$E384,$E$5:$E$504,"&gt;"&amp;$C384)&gt;1,"Se solapa con otra actividad en esta sala",""))</f>
        <v/>
      </c>
    </row>
    <row r="385" ht="21" customHeight="1">
      <c r="A385" s="35" t="n"/>
      <c r="B385" s="36" t="n"/>
      <c r="C385" s="37">
        <f>IF($A385="","",IF($B385&lt;&gt;"",$B385,IF($A385=$A384,$E384,Configuración!$C$5)))</f>
        <v/>
      </c>
      <c r="D385" s="38" t="n"/>
      <c r="E385" s="37">
        <f>IF(OR($C385="",$D385=""),"",$C385+$D385/1440)</f>
        <v/>
      </c>
      <c r="F385" s="39" t="n"/>
      <c r="G385" s="40" t="n"/>
      <c r="H385" s="40" t="n"/>
      <c r="I385" s="40" t="n"/>
      <c r="J385" s="40" t="n"/>
      <c r="K385" s="40" t="n"/>
      <c r="L385" s="41" t="n"/>
      <c r="M385" s="42">
        <f>IF(OR($C385="",$E385="",$H385="",$K385="Cancelada"),"",IF(COUNTIFS($A$5:$A$504,$A385,$H$5:$H$504,$H385,$K$5:$K$504,"&lt;&gt;Cancelada",$C$5:$C$504,"&lt;"&amp;$E385,$E$5:$E$504,"&gt;"&amp;$C385)&gt;1,"Se solapa con otra actividad en esta sala",""))</f>
        <v/>
      </c>
    </row>
    <row r="386" ht="21" customHeight="1">
      <c r="A386" s="35" t="n"/>
      <c r="B386" s="36" t="n"/>
      <c r="C386" s="37">
        <f>IF($A386="","",IF($B386&lt;&gt;"",$B386,IF($A386=$A385,$E385,Configuración!$C$5)))</f>
        <v/>
      </c>
      <c r="D386" s="38" t="n"/>
      <c r="E386" s="37">
        <f>IF(OR($C386="",$D386=""),"",$C386+$D386/1440)</f>
        <v/>
      </c>
      <c r="F386" s="39" t="n"/>
      <c r="G386" s="40" t="n"/>
      <c r="H386" s="40" t="n"/>
      <c r="I386" s="40" t="n"/>
      <c r="J386" s="40" t="n"/>
      <c r="K386" s="40" t="n"/>
      <c r="L386" s="41" t="n"/>
      <c r="M386" s="42">
        <f>IF(OR($C386="",$E386="",$H386="",$K386="Cancelada"),"",IF(COUNTIFS($A$5:$A$504,$A386,$H$5:$H$504,$H386,$K$5:$K$504,"&lt;&gt;Cancelada",$C$5:$C$504,"&lt;"&amp;$E386,$E$5:$E$504,"&gt;"&amp;$C386)&gt;1,"Se solapa con otra actividad en esta sala",""))</f>
        <v/>
      </c>
    </row>
    <row r="387" ht="21" customHeight="1">
      <c r="A387" s="35" t="n"/>
      <c r="B387" s="36" t="n"/>
      <c r="C387" s="37">
        <f>IF($A387="","",IF($B387&lt;&gt;"",$B387,IF($A387=$A386,$E386,Configuración!$C$5)))</f>
        <v/>
      </c>
      <c r="D387" s="38" t="n"/>
      <c r="E387" s="37">
        <f>IF(OR($C387="",$D387=""),"",$C387+$D387/1440)</f>
        <v/>
      </c>
      <c r="F387" s="39" t="n"/>
      <c r="G387" s="40" t="n"/>
      <c r="H387" s="40" t="n"/>
      <c r="I387" s="40" t="n"/>
      <c r="J387" s="40" t="n"/>
      <c r="K387" s="40" t="n"/>
      <c r="L387" s="41" t="n"/>
      <c r="M387" s="42">
        <f>IF(OR($C387="",$E387="",$H387="",$K387="Cancelada"),"",IF(COUNTIFS($A$5:$A$504,$A387,$H$5:$H$504,$H387,$K$5:$K$504,"&lt;&gt;Cancelada",$C$5:$C$504,"&lt;"&amp;$E387,$E$5:$E$504,"&gt;"&amp;$C387)&gt;1,"Se solapa con otra actividad en esta sala",""))</f>
        <v/>
      </c>
    </row>
    <row r="388" ht="21" customHeight="1">
      <c r="A388" s="35" t="n"/>
      <c r="B388" s="36" t="n"/>
      <c r="C388" s="37">
        <f>IF($A388="","",IF($B388&lt;&gt;"",$B388,IF($A388=$A387,$E387,Configuración!$C$5)))</f>
        <v/>
      </c>
      <c r="D388" s="38" t="n"/>
      <c r="E388" s="37">
        <f>IF(OR($C388="",$D388=""),"",$C388+$D388/1440)</f>
        <v/>
      </c>
      <c r="F388" s="39" t="n"/>
      <c r="G388" s="40" t="n"/>
      <c r="H388" s="40" t="n"/>
      <c r="I388" s="40" t="n"/>
      <c r="J388" s="40" t="n"/>
      <c r="K388" s="40" t="n"/>
      <c r="L388" s="41" t="n"/>
      <c r="M388" s="42">
        <f>IF(OR($C388="",$E388="",$H388="",$K388="Cancelada"),"",IF(COUNTIFS($A$5:$A$504,$A388,$H$5:$H$504,$H388,$K$5:$K$504,"&lt;&gt;Cancelada",$C$5:$C$504,"&lt;"&amp;$E388,$E$5:$E$504,"&gt;"&amp;$C388)&gt;1,"Se solapa con otra actividad en esta sala",""))</f>
        <v/>
      </c>
    </row>
    <row r="389" ht="21" customHeight="1">
      <c r="A389" s="35" t="n"/>
      <c r="B389" s="36" t="n"/>
      <c r="C389" s="37">
        <f>IF($A389="","",IF($B389&lt;&gt;"",$B389,IF($A389=$A388,$E388,Configuración!$C$5)))</f>
        <v/>
      </c>
      <c r="D389" s="38" t="n"/>
      <c r="E389" s="37">
        <f>IF(OR($C389="",$D389=""),"",$C389+$D389/1440)</f>
        <v/>
      </c>
      <c r="F389" s="39" t="n"/>
      <c r="G389" s="40" t="n"/>
      <c r="H389" s="40" t="n"/>
      <c r="I389" s="40" t="n"/>
      <c r="J389" s="40" t="n"/>
      <c r="K389" s="40" t="n"/>
      <c r="L389" s="41" t="n"/>
      <c r="M389" s="42">
        <f>IF(OR($C389="",$E389="",$H389="",$K389="Cancelada"),"",IF(COUNTIFS($A$5:$A$504,$A389,$H$5:$H$504,$H389,$K$5:$K$504,"&lt;&gt;Cancelada",$C$5:$C$504,"&lt;"&amp;$E389,$E$5:$E$504,"&gt;"&amp;$C389)&gt;1,"Se solapa con otra actividad en esta sala",""))</f>
        <v/>
      </c>
    </row>
    <row r="390" ht="21" customHeight="1">
      <c r="A390" s="35" t="n"/>
      <c r="B390" s="36" t="n"/>
      <c r="C390" s="37">
        <f>IF($A390="","",IF($B390&lt;&gt;"",$B390,IF($A390=$A389,$E389,Configuración!$C$5)))</f>
        <v/>
      </c>
      <c r="D390" s="38" t="n"/>
      <c r="E390" s="37">
        <f>IF(OR($C390="",$D390=""),"",$C390+$D390/1440)</f>
        <v/>
      </c>
      <c r="F390" s="39" t="n"/>
      <c r="G390" s="40" t="n"/>
      <c r="H390" s="40" t="n"/>
      <c r="I390" s="40" t="n"/>
      <c r="J390" s="40" t="n"/>
      <c r="K390" s="40" t="n"/>
      <c r="L390" s="41" t="n"/>
      <c r="M390" s="42">
        <f>IF(OR($C390="",$E390="",$H390="",$K390="Cancelada"),"",IF(COUNTIFS($A$5:$A$504,$A390,$H$5:$H$504,$H390,$K$5:$K$504,"&lt;&gt;Cancelada",$C$5:$C$504,"&lt;"&amp;$E390,$E$5:$E$504,"&gt;"&amp;$C390)&gt;1,"Se solapa con otra actividad en esta sala",""))</f>
        <v/>
      </c>
    </row>
    <row r="391" ht="21" customHeight="1">
      <c r="A391" s="35" t="n"/>
      <c r="B391" s="36" t="n"/>
      <c r="C391" s="37">
        <f>IF($A391="","",IF($B391&lt;&gt;"",$B391,IF($A391=$A390,$E390,Configuración!$C$5)))</f>
        <v/>
      </c>
      <c r="D391" s="38" t="n"/>
      <c r="E391" s="37">
        <f>IF(OR($C391="",$D391=""),"",$C391+$D391/1440)</f>
        <v/>
      </c>
      <c r="F391" s="39" t="n"/>
      <c r="G391" s="40" t="n"/>
      <c r="H391" s="40" t="n"/>
      <c r="I391" s="40" t="n"/>
      <c r="J391" s="40" t="n"/>
      <c r="K391" s="40" t="n"/>
      <c r="L391" s="41" t="n"/>
      <c r="M391" s="42">
        <f>IF(OR($C391="",$E391="",$H391="",$K391="Cancelada"),"",IF(COUNTIFS($A$5:$A$504,$A391,$H$5:$H$504,$H391,$K$5:$K$504,"&lt;&gt;Cancelada",$C$5:$C$504,"&lt;"&amp;$E391,$E$5:$E$504,"&gt;"&amp;$C391)&gt;1,"Se solapa con otra actividad en esta sala",""))</f>
        <v/>
      </c>
    </row>
    <row r="392" ht="21" customHeight="1">
      <c r="A392" s="35" t="n"/>
      <c r="B392" s="36" t="n"/>
      <c r="C392" s="37">
        <f>IF($A392="","",IF($B392&lt;&gt;"",$B392,IF($A392=$A391,$E391,Configuración!$C$5)))</f>
        <v/>
      </c>
      <c r="D392" s="38" t="n"/>
      <c r="E392" s="37">
        <f>IF(OR($C392="",$D392=""),"",$C392+$D392/1440)</f>
        <v/>
      </c>
      <c r="F392" s="39" t="n"/>
      <c r="G392" s="40" t="n"/>
      <c r="H392" s="40" t="n"/>
      <c r="I392" s="40" t="n"/>
      <c r="J392" s="40" t="n"/>
      <c r="K392" s="40" t="n"/>
      <c r="L392" s="41" t="n"/>
      <c r="M392" s="42">
        <f>IF(OR($C392="",$E392="",$H392="",$K392="Cancelada"),"",IF(COUNTIFS($A$5:$A$504,$A392,$H$5:$H$504,$H392,$K$5:$K$504,"&lt;&gt;Cancelada",$C$5:$C$504,"&lt;"&amp;$E392,$E$5:$E$504,"&gt;"&amp;$C392)&gt;1,"Se solapa con otra actividad en esta sala",""))</f>
        <v/>
      </c>
    </row>
    <row r="393" ht="21" customHeight="1">
      <c r="A393" s="35" t="n"/>
      <c r="B393" s="36" t="n"/>
      <c r="C393" s="37">
        <f>IF($A393="","",IF($B393&lt;&gt;"",$B393,IF($A393=$A392,$E392,Configuración!$C$5)))</f>
        <v/>
      </c>
      <c r="D393" s="38" t="n"/>
      <c r="E393" s="37">
        <f>IF(OR($C393="",$D393=""),"",$C393+$D393/1440)</f>
        <v/>
      </c>
      <c r="F393" s="39" t="n"/>
      <c r="G393" s="40" t="n"/>
      <c r="H393" s="40" t="n"/>
      <c r="I393" s="40" t="n"/>
      <c r="J393" s="40" t="n"/>
      <c r="K393" s="40" t="n"/>
      <c r="L393" s="41" t="n"/>
      <c r="M393" s="42">
        <f>IF(OR($C393="",$E393="",$H393="",$K393="Cancelada"),"",IF(COUNTIFS($A$5:$A$504,$A393,$H$5:$H$504,$H393,$K$5:$K$504,"&lt;&gt;Cancelada",$C$5:$C$504,"&lt;"&amp;$E393,$E$5:$E$504,"&gt;"&amp;$C393)&gt;1,"Se solapa con otra actividad en esta sala",""))</f>
        <v/>
      </c>
    </row>
    <row r="394" ht="21" customHeight="1">
      <c r="A394" s="35" t="n"/>
      <c r="B394" s="36" t="n"/>
      <c r="C394" s="37">
        <f>IF($A394="","",IF($B394&lt;&gt;"",$B394,IF($A394=$A393,$E393,Configuración!$C$5)))</f>
        <v/>
      </c>
      <c r="D394" s="38" t="n"/>
      <c r="E394" s="37">
        <f>IF(OR($C394="",$D394=""),"",$C394+$D394/1440)</f>
        <v/>
      </c>
      <c r="F394" s="39" t="n"/>
      <c r="G394" s="40" t="n"/>
      <c r="H394" s="40" t="n"/>
      <c r="I394" s="40" t="n"/>
      <c r="J394" s="40" t="n"/>
      <c r="K394" s="40" t="n"/>
      <c r="L394" s="41" t="n"/>
      <c r="M394" s="42">
        <f>IF(OR($C394="",$E394="",$H394="",$K394="Cancelada"),"",IF(COUNTIFS($A$5:$A$504,$A394,$H$5:$H$504,$H394,$K$5:$K$504,"&lt;&gt;Cancelada",$C$5:$C$504,"&lt;"&amp;$E394,$E$5:$E$504,"&gt;"&amp;$C394)&gt;1,"Se solapa con otra actividad en esta sala",""))</f>
        <v/>
      </c>
    </row>
    <row r="395" ht="21" customHeight="1">
      <c r="A395" s="35" t="n"/>
      <c r="B395" s="36" t="n"/>
      <c r="C395" s="37">
        <f>IF($A395="","",IF($B395&lt;&gt;"",$B395,IF($A395=$A394,$E394,Configuración!$C$5)))</f>
        <v/>
      </c>
      <c r="D395" s="38" t="n"/>
      <c r="E395" s="37">
        <f>IF(OR($C395="",$D395=""),"",$C395+$D395/1440)</f>
        <v/>
      </c>
      <c r="F395" s="39" t="n"/>
      <c r="G395" s="40" t="n"/>
      <c r="H395" s="40" t="n"/>
      <c r="I395" s="40" t="n"/>
      <c r="J395" s="40" t="n"/>
      <c r="K395" s="40" t="n"/>
      <c r="L395" s="41" t="n"/>
      <c r="M395" s="42">
        <f>IF(OR($C395="",$E395="",$H395="",$K395="Cancelada"),"",IF(COUNTIFS($A$5:$A$504,$A395,$H$5:$H$504,$H395,$K$5:$K$504,"&lt;&gt;Cancelada",$C$5:$C$504,"&lt;"&amp;$E395,$E$5:$E$504,"&gt;"&amp;$C395)&gt;1,"Se solapa con otra actividad en esta sala",""))</f>
        <v/>
      </c>
    </row>
    <row r="396" ht="21" customHeight="1">
      <c r="A396" s="35" t="n"/>
      <c r="B396" s="36" t="n"/>
      <c r="C396" s="37">
        <f>IF($A396="","",IF($B396&lt;&gt;"",$B396,IF($A396=$A395,$E395,Configuración!$C$5)))</f>
        <v/>
      </c>
      <c r="D396" s="38" t="n"/>
      <c r="E396" s="37">
        <f>IF(OR($C396="",$D396=""),"",$C396+$D396/1440)</f>
        <v/>
      </c>
      <c r="F396" s="39" t="n"/>
      <c r="G396" s="40" t="n"/>
      <c r="H396" s="40" t="n"/>
      <c r="I396" s="40" t="n"/>
      <c r="J396" s="40" t="n"/>
      <c r="K396" s="40" t="n"/>
      <c r="L396" s="41" t="n"/>
      <c r="M396" s="42">
        <f>IF(OR($C396="",$E396="",$H396="",$K396="Cancelada"),"",IF(COUNTIFS($A$5:$A$504,$A396,$H$5:$H$504,$H396,$K$5:$K$504,"&lt;&gt;Cancelada",$C$5:$C$504,"&lt;"&amp;$E396,$E$5:$E$504,"&gt;"&amp;$C396)&gt;1,"Se solapa con otra actividad en esta sala",""))</f>
        <v/>
      </c>
    </row>
    <row r="397" ht="21" customHeight="1">
      <c r="A397" s="35" t="n"/>
      <c r="B397" s="36" t="n"/>
      <c r="C397" s="37">
        <f>IF($A397="","",IF($B397&lt;&gt;"",$B397,IF($A397=$A396,$E396,Configuración!$C$5)))</f>
        <v/>
      </c>
      <c r="D397" s="38" t="n"/>
      <c r="E397" s="37">
        <f>IF(OR($C397="",$D397=""),"",$C397+$D397/1440)</f>
        <v/>
      </c>
      <c r="F397" s="39" t="n"/>
      <c r="G397" s="40" t="n"/>
      <c r="H397" s="40" t="n"/>
      <c r="I397" s="40" t="n"/>
      <c r="J397" s="40" t="n"/>
      <c r="K397" s="40" t="n"/>
      <c r="L397" s="41" t="n"/>
      <c r="M397" s="42">
        <f>IF(OR($C397="",$E397="",$H397="",$K397="Cancelada"),"",IF(COUNTIFS($A$5:$A$504,$A397,$H$5:$H$504,$H397,$K$5:$K$504,"&lt;&gt;Cancelada",$C$5:$C$504,"&lt;"&amp;$E397,$E$5:$E$504,"&gt;"&amp;$C397)&gt;1,"Se solapa con otra actividad en esta sala",""))</f>
        <v/>
      </c>
    </row>
    <row r="398" ht="21" customHeight="1">
      <c r="A398" s="35" t="n"/>
      <c r="B398" s="36" t="n"/>
      <c r="C398" s="37">
        <f>IF($A398="","",IF($B398&lt;&gt;"",$B398,IF($A398=$A397,$E397,Configuración!$C$5)))</f>
        <v/>
      </c>
      <c r="D398" s="38" t="n"/>
      <c r="E398" s="37">
        <f>IF(OR($C398="",$D398=""),"",$C398+$D398/1440)</f>
        <v/>
      </c>
      <c r="F398" s="39" t="n"/>
      <c r="G398" s="40" t="n"/>
      <c r="H398" s="40" t="n"/>
      <c r="I398" s="40" t="n"/>
      <c r="J398" s="40" t="n"/>
      <c r="K398" s="40" t="n"/>
      <c r="L398" s="41" t="n"/>
      <c r="M398" s="42">
        <f>IF(OR($C398="",$E398="",$H398="",$K398="Cancelada"),"",IF(COUNTIFS($A$5:$A$504,$A398,$H$5:$H$504,$H398,$K$5:$K$504,"&lt;&gt;Cancelada",$C$5:$C$504,"&lt;"&amp;$E398,$E$5:$E$504,"&gt;"&amp;$C398)&gt;1,"Se solapa con otra actividad en esta sala",""))</f>
        <v/>
      </c>
    </row>
    <row r="399" ht="21" customHeight="1">
      <c r="A399" s="35" t="n"/>
      <c r="B399" s="36" t="n"/>
      <c r="C399" s="37">
        <f>IF($A399="","",IF($B399&lt;&gt;"",$B399,IF($A399=$A398,$E398,Configuración!$C$5)))</f>
        <v/>
      </c>
      <c r="D399" s="38" t="n"/>
      <c r="E399" s="37">
        <f>IF(OR($C399="",$D399=""),"",$C399+$D399/1440)</f>
        <v/>
      </c>
      <c r="F399" s="39" t="n"/>
      <c r="G399" s="40" t="n"/>
      <c r="H399" s="40" t="n"/>
      <c r="I399" s="40" t="n"/>
      <c r="J399" s="40" t="n"/>
      <c r="K399" s="40" t="n"/>
      <c r="L399" s="41" t="n"/>
      <c r="M399" s="42">
        <f>IF(OR($C399="",$E399="",$H399="",$K399="Cancelada"),"",IF(COUNTIFS($A$5:$A$504,$A399,$H$5:$H$504,$H399,$K$5:$K$504,"&lt;&gt;Cancelada",$C$5:$C$504,"&lt;"&amp;$E399,$E$5:$E$504,"&gt;"&amp;$C399)&gt;1,"Se solapa con otra actividad en esta sala",""))</f>
        <v/>
      </c>
    </row>
    <row r="400" ht="21" customHeight="1">
      <c r="A400" s="35" t="n"/>
      <c r="B400" s="36" t="n"/>
      <c r="C400" s="37">
        <f>IF($A400="","",IF($B400&lt;&gt;"",$B400,IF($A400=$A399,$E399,Configuración!$C$5)))</f>
        <v/>
      </c>
      <c r="D400" s="38" t="n"/>
      <c r="E400" s="37">
        <f>IF(OR($C400="",$D400=""),"",$C400+$D400/1440)</f>
        <v/>
      </c>
      <c r="F400" s="39" t="n"/>
      <c r="G400" s="40" t="n"/>
      <c r="H400" s="40" t="n"/>
      <c r="I400" s="40" t="n"/>
      <c r="J400" s="40" t="n"/>
      <c r="K400" s="40" t="n"/>
      <c r="L400" s="41" t="n"/>
      <c r="M400" s="42">
        <f>IF(OR($C400="",$E400="",$H400="",$K400="Cancelada"),"",IF(COUNTIFS($A$5:$A$504,$A400,$H$5:$H$504,$H400,$K$5:$K$504,"&lt;&gt;Cancelada",$C$5:$C$504,"&lt;"&amp;$E400,$E$5:$E$504,"&gt;"&amp;$C400)&gt;1,"Se solapa con otra actividad en esta sala",""))</f>
        <v/>
      </c>
    </row>
    <row r="401" ht="21" customHeight="1">
      <c r="A401" s="35" t="n"/>
      <c r="B401" s="36" t="n"/>
      <c r="C401" s="37">
        <f>IF($A401="","",IF($B401&lt;&gt;"",$B401,IF($A401=$A400,$E400,Configuración!$C$5)))</f>
        <v/>
      </c>
      <c r="D401" s="38" t="n"/>
      <c r="E401" s="37">
        <f>IF(OR($C401="",$D401=""),"",$C401+$D401/1440)</f>
        <v/>
      </c>
      <c r="F401" s="39" t="n"/>
      <c r="G401" s="40" t="n"/>
      <c r="H401" s="40" t="n"/>
      <c r="I401" s="40" t="n"/>
      <c r="J401" s="40" t="n"/>
      <c r="K401" s="40" t="n"/>
      <c r="L401" s="41" t="n"/>
      <c r="M401" s="42">
        <f>IF(OR($C401="",$E401="",$H401="",$K401="Cancelada"),"",IF(COUNTIFS($A$5:$A$504,$A401,$H$5:$H$504,$H401,$K$5:$K$504,"&lt;&gt;Cancelada",$C$5:$C$504,"&lt;"&amp;$E401,$E$5:$E$504,"&gt;"&amp;$C401)&gt;1,"Se solapa con otra actividad en esta sala",""))</f>
        <v/>
      </c>
    </row>
    <row r="402" ht="21" customHeight="1">
      <c r="A402" s="35" t="n"/>
      <c r="B402" s="36" t="n"/>
      <c r="C402" s="37">
        <f>IF($A402="","",IF($B402&lt;&gt;"",$B402,IF($A402=$A401,$E401,Configuración!$C$5)))</f>
        <v/>
      </c>
      <c r="D402" s="38" t="n"/>
      <c r="E402" s="37">
        <f>IF(OR($C402="",$D402=""),"",$C402+$D402/1440)</f>
        <v/>
      </c>
      <c r="F402" s="39" t="n"/>
      <c r="G402" s="40" t="n"/>
      <c r="H402" s="40" t="n"/>
      <c r="I402" s="40" t="n"/>
      <c r="J402" s="40" t="n"/>
      <c r="K402" s="40" t="n"/>
      <c r="L402" s="41" t="n"/>
      <c r="M402" s="42">
        <f>IF(OR($C402="",$E402="",$H402="",$K402="Cancelada"),"",IF(COUNTIFS($A$5:$A$504,$A402,$H$5:$H$504,$H402,$K$5:$K$504,"&lt;&gt;Cancelada",$C$5:$C$504,"&lt;"&amp;$E402,$E$5:$E$504,"&gt;"&amp;$C402)&gt;1,"Se solapa con otra actividad en esta sala",""))</f>
        <v/>
      </c>
    </row>
    <row r="403" ht="21" customHeight="1">
      <c r="A403" s="35" t="n"/>
      <c r="B403" s="36" t="n"/>
      <c r="C403" s="37">
        <f>IF($A403="","",IF($B403&lt;&gt;"",$B403,IF($A403=$A402,$E402,Configuración!$C$5)))</f>
        <v/>
      </c>
      <c r="D403" s="38" t="n"/>
      <c r="E403" s="37">
        <f>IF(OR($C403="",$D403=""),"",$C403+$D403/1440)</f>
        <v/>
      </c>
      <c r="F403" s="39" t="n"/>
      <c r="G403" s="40" t="n"/>
      <c r="H403" s="40" t="n"/>
      <c r="I403" s="40" t="n"/>
      <c r="J403" s="40" t="n"/>
      <c r="K403" s="40" t="n"/>
      <c r="L403" s="41" t="n"/>
      <c r="M403" s="42">
        <f>IF(OR($C403="",$E403="",$H403="",$K403="Cancelada"),"",IF(COUNTIFS($A$5:$A$504,$A403,$H$5:$H$504,$H403,$K$5:$K$504,"&lt;&gt;Cancelada",$C$5:$C$504,"&lt;"&amp;$E403,$E$5:$E$504,"&gt;"&amp;$C403)&gt;1,"Se solapa con otra actividad en esta sala",""))</f>
        <v/>
      </c>
    </row>
    <row r="404" ht="21" customHeight="1">
      <c r="A404" s="35" t="n"/>
      <c r="B404" s="36" t="n"/>
      <c r="C404" s="37">
        <f>IF($A404="","",IF($B404&lt;&gt;"",$B404,IF($A404=$A403,$E403,Configuración!$C$5)))</f>
        <v/>
      </c>
      <c r="D404" s="38" t="n"/>
      <c r="E404" s="37">
        <f>IF(OR($C404="",$D404=""),"",$C404+$D404/1440)</f>
        <v/>
      </c>
      <c r="F404" s="39" t="n"/>
      <c r="G404" s="40" t="n"/>
      <c r="H404" s="40" t="n"/>
      <c r="I404" s="40" t="n"/>
      <c r="J404" s="40" t="n"/>
      <c r="K404" s="40" t="n"/>
      <c r="L404" s="41" t="n"/>
      <c r="M404" s="42">
        <f>IF(OR($C404="",$E404="",$H404="",$K404="Cancelada"),"",IF(COUNTIFS($A$5:$A$504,$A404,$H$5:$H$504,$H404,$K$5:$K$504,"&lt;&gt;Cancelada",$C$5:$C$504,"&lt;"&amp;$E404,$E$5:$E$504,"&gt;"&amp;$C404)&gt;1,"Se solapa con otra actividad en esta sala",""))</f>
        <v/>
      </c>
    </row>
    <row r="405" ht="21" customHeight="1">
      <c r="A405" s="35" t="n"/>
      <c r="B405" s="36" t="n"/>
      <c r="C405" s="37">
        <f>IF($A405="","",IF($B405&lt;&gt;"",$B405,IF($A405=$A404,$E404,Configuración!$C$5)))</f>
        <v/>
      </c>
      <c r="D405" s="38" t="n"/>
      <c r="E405" s="37">
        <f>IF(OR($C405="",$D405=""),"",$C405+$D405/1440)</f>
        <v/>
      </c>
      <c r="F405" s="39" t="n"/>
      <c r="G405" s="40" t="n"/>
      <c r="H405" s="40" t="n"/>
      <c r="I405" s="40" t="n"/>
      <c r="J405" s="40" t="n"/>
      <c r="K405" s="40" t="n"/>
      <c r="L405" s="41" t="n"/>
      <c r="M405" s="42">
        <f>IF(OR($C405="",$E405="",$H405="",$K405="Cancelada"),"",IF(COUNTIFS($A$5:$A$504,$A405,$H$5:$H$504,$H405,$K$5:$K$504,"&lt;&gt;Cancelada",$C$5:$C$504,"&lt;"&amp;$E405,$E$5:$E$504,"&gt;"&amp;$C405)&gt;1,"Se solapa con otra actividad en esta sala",""))</f>
        <v/>
      </c>
    </row>
    <row r="406" ht="21" customHeight="1">
      <c r="A406" s="35" t="n"/>
      <c r="B406" s="36" t="n"/>
      <c r="C406" s="37">
        <f>IF($A406="","",IF($B406&lt;&gt;"",$B406,IF($A406=$A405,$E405,Configuración!$C$5)))</f>
        <v/>
      </c>
      <c r="D406" s="38" t="n"/>
      <c r="E406" s="37">
        <f>IF(OR($C406="",$D406=""),"",$C406+$D406/1440)</f>
        <v/>
      </c>
      <c r="F406" s="39" t="n"/>
      <c r="G406" s="40" t="n"/>
      <c r="H406" s="40" t="n"/>
      <c r="I406" s="40" t="n"/>
      <c r="J406" s="40" t="n"/>
      <c r="K406" s="40" t="n"/>
      <c r="L406" s="41" t="n"/>
      <c r="M406" s="42">
        <f>IF(OR($C406="",$E406="",$H406="",$K406="Cancelada"),"",IF(COUNTIFS($A$5:$A$504,$A406,$H$5:$H$504,$H406,$K$5:$K$504,"&lt;&gt;Cancelada",$C$5:$C$504,"&lt;"&amp;$E406,$E$5:$E$504,"&gt;"&amp;$C406)&gt;1,"Se solapa con otra actividad en esta sala",""))</f>
        <v/>
      </c>
    </row>
    <row r="407" ht="21" customHeight="1">
      <c r="A407" s="35" t="n"/>
      <c r="B407" s="36" t="n"/>
      <c r="C407" s="37">
        <f>IF($A407="","",IF($B407&lt;&gt;"",$B407,IF($A407=$A406,$E406,Configuración!$C$5)))</f>
        <v/>
      </c>
      <c r="D407" s="38" t="n"/>
      <c r="E407" s="37">
        <f>IF(OR($C407="",$D407=""),"",$C407+$D407/1440)</f>
        <v/>
      </c>
      <c r="F407" s="39" t="n"/>
      <c r="G407" s="40" t="n"/>
      <c r="H407" s="40" t="n"/>
      <c r="I407" s="40" t="n"/>
      <c r="J407" s="40" t="n"/>
      <c r="K407" s="40" t="n"/>
      <c r="L407" s="41" t="n"/>
      <c r="M407" s="42">
        <f>IF(OR($C407="",$E407="",$H407="",$K407="Cancelada"),"",IF(COUNTIFS($A$5:$A$504,$A407,$H$5:$H$504,$H407,$K$5:$K$504,"&lt;&gt;Cancelada",$C$5:$C$504,"&lt;"&amp;$E407,$E$5:$E$504,"&gt;"&amp;$C407)&gt;1,"Se solapa con otra actividad en esta sala",""))</f>
        <v/>
      </c>
    </row>
    <row r="408" ht="21" customHeight="1">
      <c r="A408" s="35" t="n"/>
      <c r="B408" s="36" t="n"/>
      <c r="C408" s="37">
        <f>IF($A408="","",IF($B408&lt;&gt;"",$B408,IF($A408=$A407,$E407,Configuración!$C$5)))</f>
        <v/>
      </c>
      <c r="D408" s="38" t="n"/>
      <c r="E408" s="37">
        <f>IF(OR($C408="",$D408=""),"",$C408+$D408/1440)</f>
        <v/>
      </c>
      <c r="F408" s="39" t="n"/>
      <c r="G408" s="40" t="n"/>
      <c r="H408" s="40" t="n"/>
      <c r="I408" s="40" t="n"/>
      <c r="J408" s="40" t="n"/>
      <c r="K408" s="40" t="n"/>
      <c r="L408" s="41" t="n"/>
      <c r="M408" s="42">
        <f>IF(OR($C408="",$E408="",$H408="",$K408="Cancelada"),"",IF(COUNTIFS($A$5:$A$504,$A408,$H$5:$H$504,$H408,$K$5:$K$504,"&lt;&gt;Cancelada",$C$5:$C$504,"&lt;"&amp;$E408,$E$5:$E$504,"&gt;"&amp;$C408)&gt;1,"Se solapa con otra actividad en esta sala",""))</f>
        <v/>
      </c>
    </row>
    <row r="409" ht="21" customHeight="1">
      <c r="A409" s="35" t="n"/>
      <c r="B409" s="36" t="n"/>
      <c r="C409" s="37">
        <f>IF($A409="","",IF($B409&lt;&gt;"",$B409,IF($A409=$A408,$E408,Configuración!$C$5)))</f>
        <v/>
      </c>
      <c r="D409" s="38" t="n"/>
      <c r="E409" s="37">
        <f>IF(OR($C409="",$D409=""),"",$C409+$D409/1440)</f>
        <v/>
      </c>
      <c r="F409" s="39" t="n"/>
      <c r="G409" s="40" t="n"/>
      <c r="H409" s="40" t="n"/>
      <c r="I409" s="40" t="n"/>
      <c r="J409" s="40" t="n"/>
      <c r="K409" s="40" t="n"/>
      <c r="L409" s="41" t="n"/>
      <c r="M409" s="42">
        <f>IF(OR($C409="",$E409="",$H409="",$K409="Cancelada"),"",IF(COUNTIFS($A$5:$A$504,$A409,$H$5:$H$504,$H409,$K$5:$K$504,"&lt;&gt;Cancelada",$C$5:$C$504,"&lt;"&amp;$E409,$E$5:$E$504,"&gt;"&amp;$C409)&gt;1,"Se solapa con otra actividad en esta sala",""))</f>
        <v/>
      </c>
    </row>
    <row r="410" ht="21" customHeight="1">
      <c r="A410" s="35" t="n"/>
      <c r="B410" s="36" t="n"/>
      <c r="C410" s="37">
        <f>IF($A410="","",IF($B410&lt;&gt;"",$B410,IF($A410=$A409,$E409,Configuración!$C$5)))</f>
        <v/>
      </c>
      <c r="D410" s="38" t="n"/>
      <c r="E410" s="37">
        <f>IF(OR($C410="",$D410=""),"",$C410+$D410/1440)</f>
        <v/>
      </c>
      <c r="F410" s="39" t="n"/>
      <c r="G410" s="40" t="n"/>
      <c r="H410" s="40" t="n"/>
      <c r="I410" s="40" t="n"/>
      <c r="J410" s="40" t="n"/>
      <c r="K410" s="40" t="n"/>
      <c r="L410" s="41" t="n"/>
      <c r="M410" s="42">
        <f>IF(OR($C410="",$E410="",$H410="",$K410="Cancelada"),"",IF(COUNTIFS($A$5:$A$504,$A410,$H$5:$H$504,$H410,$K$5:$K$504,"&lt;&gt;Cancelada",$C$5:$C$504,"&lt;"&amp;$E410,$E$5:$E$504,"&gt;"&amp;$C410)&gt;1,"Se solapa con otra actividad en esta sala",""))</f>
        <v/>
      </c>
    </row>
    <row r="411" ht="21" customHeight="1">
      <c r="A411" s="35" t="n"/>
      <c r="B411" s="36" t="n"/>
      <c r="C411" s="37">
        <f>IF($A411="","",IF($B411&lt;&gt;"",$B411,IF($A411=$A410,$E410,Configuración!$C$5)))</f>
        <v/>
      </c>
      <c r="D411" s="38" t="n"/>
      <c r="E411" s="37">
        <f>IF(OR($C411="",$D411=""),"",$C411+$D411/1440)</f>
        <v/>
      </c>
      <c r="F411" s="39" t="n"/>
      <c r="G411" s="40" t="n"/>
      <c r="H411" s="40" t="n"/>
      <c r="I411" s="40" t="n"/>
      <c r="J411" s="40" t="n"/>
      <c r="K411" s="40" t="n"/>
      <c r="L411" s="41" t="n"/>
      <c r="M411" s="42">
        <f>IF(OR($C411="",$E411="",$H411="",$K411="Cancelada"),"",IF(COUNTIFS($A$5:$A$504,$A411,$H$5:$H$504,$H411,$K$5:$K$504,"&lt;&gt;Cancelada",$C$5:$C$504,"&lt;"&amp;$E411,$E$5:$E$504,"&gt;"&amp;$C411)&gt;1,"Se solapa con otra actividad en esta sala",""))</f>
        <v/>
      </c>
    </row>
    <row r="412" ht="21" customHeight="1">
      <c r="A412" s="35" t="n"/>
      <c r="B412" s="36" t="n"/>
      <c r="C412" s="37">
        <f>IF($A412="","",IF($B412&lt;&gt;"",$B412,IF($A412=$A411,$E411,Configuración!$C$5)))</f>
        <v/>
      </c>
      <c r="D412" s="38" t="n"/>
      <c r="E412" s="37">
        <f>IF(OR($C412="",$D412=""),"",$C412+$D412/1440)</f>
        <v/>
      </c>
      <c r="F412" s="39" t="n"/>
      <c r="G412" s="40" t="n"/>
      <c r="H412" s="40" t="n"/>
      <c r="I412" s="40" t="n"/>
      <c r="J412" s="40" t="n"/>
      <c r="K412" s="40" t="n"/>
      <c r="L412" s="41" t="n"/>
      <c r="M412" s="42">
        <f>IF(OR($C412="",$E412="",$H412="",$K412="Cancelada"),"",IF(COUNTIFS($A$5:$A$504,$A412,$H$5:$H$504,$H412,$K$5:$K$504,"&lt;&gt;Cancelada",$C$5:$C$504,"&lt;"&amp;$E412,$E$5:$E$504,"&gt;"&amp;$C412)&gt;1,"Se solapa con otra actividad en esta sala",""))</f>
        <v/>
      </c>
    </row>
    <row r="413" ht="21" customHeight="1">
      <c r="A413" s="35" t="n"/>
      <c r="B413" s="36" t="n"/>
      <c r="C413" s="37">
        <f>IF($A413="","",IF($B413&lt;&gt;"",$B413,IF($A413=$A412,$E412,Configuración!$C$5)))</f>
        <v/>
      </c>
      <c r="D413" s="38" t="n"/>
      <c r="E413" s="37">
        <f>IF(OR($C413="",$D413=""),"",$C413+$D413/1440)</f>
        <v/>
      </c>
      <c r="F413" s="39" t="n"/>
      <c r="G413" s="40" t="n"/>
      <c r="H413" s="40" t="n"/>
      <c r="I413" s="40" t="n"/>
      <c r="J413" s="40" t="n"/>
      <c r="K413" s="40" t="n"/>
      <c r="L413" s="41" t="n"/>
      <c r="M413" s="42">
        <f>IF(OR($C413="",$E413="",$H413="",$K413="Cancelada"),"",IF(COUNTIFS($A$5:$A$504,$A413,$H$5:$H$504,$H413,$K$5:$K$504,"&lt;&gt;Cancelada",$C$5:$C$504,"&lt;"&amp;$E413,$E$5:$E$504,"&gt;"&amp;$C413)&gt;1,"Se solapa con otra actividad en esta sala",""))</f>
        <v/>
      </c>
    </row>
    <row r="414" ht="21" customHeight="1">
      <c r="A414" s="35" t="n"/>
      <c r="B414" s="36" t="n"/>
      <c r="C414" s="37">
        <f>IF($A414="","",IF($B414&lt;&gt;"",$B414,IF($A414=$A413,$E413,Configuración!$C$5)))</f>
        <v/>
      </c>
      <c r="D414" s="38" t="n"/>
      <c r="E414" s="37">
        <f>IF(OR($C414="",$D414=""),"",$C414+$D414/1440)</f>
        <v/>
      </c>
      <c r="F414" s="39" t="n"/>
      <c r="G414" s="40" t="n"/>
      <c r="H414" s="40" t="n"/>
      <c r="I414" s="40" t="n"/>
      <c r="J414" s="40" t="n"/>
      <c r="K414" s="40" t="n"/>
      <c r="L414" s="41" t="n"/>
      <c r="M414" s="42">
        <f>IF(OR($C414="",$E414="",$H414="",$K414="Cancelada"),"",IF(COUNTIFS($A$5:$A$504,$A414,$H$5:$H$504,$H414,$K$5:$K$504,"&lt;&gt;Cancelada",$C$5:$C$504,"&lt;"&amp;$E414,$E$5:$E$504,"&gt;"&amp;$C414)&gt;1,"Se solapa con otra actividad en esta sala",""))</f>
        <v/>
      </c>
    </row>
    <row r="415" ht="21" customHeight="1">
      <c r="A415" s="35" t="n"/>
      <c r="B415" s="36" t="n"/>
      <c r="C415" s="37">
        <f>IF($A415="","",IF($B415&lt;&gt;"",$B415,IF($A415=$A414,$E414,Configuración!$C$5)))</f>
        <v/>
      </c>
      <c r="D415" s="38" t="n"/>
      <c r="E415" s="37">
        <f>IF(OR($C415="",$D415=""),"",$C415+$D415/1440)</f>
        <v/>
      </c>
      <c r="F415" s="39" t="n"/>
      <c r="G415" s="40" t="n"/>
      <c r="H415" s="40" t="n"/>
      <c r="I415" s="40" t="n"/>
      <c r="J415" s="40" t="n"/>
      <c r="K415" s="40" t="n"/>
      <c r="L415" s="41" t="n"/>
      <c r="M415" s="42">
        <f>IF(OR($C415="",$E415="",$H415="",$K415="Cancelada"),"",IF(COUNTIFS($A$5:$A$504,$A415,$H$5:$H$504,$H415,$K$5:$K$504,"&lt;&gt;Cancelada",$C$5:$C$504,"&lt;"&amp;$E415,$E$5:$E$504,"&gt;"&amp;$C415)&gt;1,"Se solapa con otra actividad en esta sala",""))</f>
        <v/>
      </c>
    </row>
    <row r="416" ht="21" customHeight="1">
      <c r="A416" s="35" t="n"/>
      <c r="B416" s="36" t="n"/>
      <c r="C416" s="37">
        <f>IF($A416="","",IF($B416&lt;&gt;"",$B416,IF($A416=$A415,$E415,Configuración!$C$5)))</f>
        <v/>
      </c>
      <c r="D416" s="38" t="n"/>
      <c r="E416" s="37">
        <f>IF(OR($C416="",$D416=""),"",$C416+$D416/1440)</f>
        <v/>
      </c>
      <c r="F416" s="39" t="n"/>
      <c r="G416" s="40" t="n"/>
      <c r="H416" s="40" t="n"/>
      <c r="I416" s="40" t="n"/>
      <c r="J416" s="40" t="n"/>
      <c r="K416" s="40" t="n"/>
      <c r="L416" s="41" t="n"/>
      <c r="M416" s="42">
        <f>IF(OR($C416="",$E416="",$H416="",$K416="Cancelada"),"",IF(COUNTIFS($A$5:$A$504,$A416,$H$5:$H$504,$H416,$K$5:$K$504,"&lt;&gt;Cancelada",$C$5:$C$504,"&lt;"&amp;$E416,$E$5:$E$504,"&gt;"&amp;$C416)&gt;1,"Se solapa con otra actividad en esta sala",""))</f>
        <v/>
      </c>
    </row>
    <row r="417" ht="21" customHeight="1">
      <c r="A417" s="35" t="n"/>
      <c r="B417" s="36" t="n"/>
      <c r="C417" s="37">
        <f>IF($A417="","",IF($B417&lt;&gt;"",$B417,IF($A417=$A416,$E416,Configuración!$C$5)))</f>
        <v/>
      </c>
      <c r="D417" s="38" t="n"/>
      <c r="E417" s="37">
        <f>IF(OR($C417="",$D417=""),"",$C417+$D417/1440)</f>
        <v/>
      </c>
      <c r="F417" s="39" t="n"/>
      <c r="G417" s="40" t="n"/>
      <c r="H417" s="40" t="n"/>
      <c r="I417" s="40" t="n"/>
      <c r="J417" s="40" t="n"/>
      <c r="K417" s="40" t="n"/>
      <c r="L417" s="41" t="n"/>
      <c r="M417" s="42">
        <f>IF(OR($C417="",$E417="",$H417="",$K417="Cancelada"),"",IF(COUNTIFS($A$5:$A$504,$A417,$H$5:$H$504,$H417,$K$5:$K$504,"&lt;&gt;Cancelada",$C$5:$C$504,"&lt;"&amp;$E417,$E$5:$E$504,"&gt;"&amp;$C417)&gt;1,"Se solapa con otra actividad en esta sala",""))</f>
        <v/>
      </c>
    </row>
    <row r="418" ht="21" customHeight="1">
      <c r="A418" s="35" t="n"/>
      <c r="B418" s="36" t="n"/>
      <c r="C418" s="37">
        <f>IF($A418="","",IF($B418&lt;&gt;"",$B418,IF($A418=$A417,$E417,Configuración!$C$5)))</f>
        <v/>
      </c>
      <c r="D418" s="38" t="n"/>
      <c r="E418" s="37">
        <f>IF(OR($C418="",$D418=""),"",$C418+$D418/1440)</f>
        <v/>
      </c>
      <c r="F418" s="39" t="n"/>
      <c r="G418" s="40" t="n"/>
      <c r="H418" s="40" t="n"/>
      <c r="I418" s="40" t="n"/>
      <c r="J418" s="40" t="n"/>
      <c r="K418" s="40" t="n"/>
      <c r="L418" s="41" t="n"/>
      <c r="M418" s="42">
        <f>IF(OR($C418="",$E418="",$H418="",$K418="Cancelada"),"",IF(COUNTIFS($A$5:$A$504,$A418,$H$5:$H$504,$H418,$K$5:$K$504,"&lt;&gt;Cancelada",$C$5:$C$504,"&lt;"&amp;$E418,$E$5:$E$504,"&gt;"&amp;$C418)&gt;1,"Se solapa con otra actividad en esta sala",""))</f>
        <v/>
      </c>
    </row>
    <row r="419" ht="21" customHeight="1">
      <c r="A419" s="35" t="n"/>
      <c r="B419" s="36" t="n"/>
      <c r="C419" s="37">
        <f>IF($A419="","",IF($B419&lt;&gt;"",$B419,IF($A419=$A418,$E418,Configuración!$C$5)))</f>
        <v/>
      </c>
      <c r="D419" s="38" t="n"/>
      <c r="E419" s="37">
        <f>IF(OR($C419="",$D419=""),"",$C419+$D419/1440)</f>
        <v/>
      </c>
      <c r="F419" s="39" t="n"/>
      <c r="G419" s="40" t="n"/>
      <c r="H419" s="40" t="n"/>
      <c r="I419" s="40" t="n"/>
      <c r="J419" s="40" t="n"/>
      <c r="K419" s="40" t="n"/>
      <c r="L419" s="41" t="n"/>
      <c r="M419" s="42">
        <f>IF(OR($C419="",$E419="",$H419="",$K419="Cancelada"),"",IF(COUNTIFS($A$5:$A$504,$A419,$H$5:$H$504,$H419,$K$5:$K$504,"&lt;&gt;Cancelada",$C$5:$C$504,"&lt;"&amp;$E419,$E$5:$E$504,"&gt;"&amp;$C419)&gt;1,"Se solapa con otra actividad en esta sala",""))</f>
        <v/>
      </c>
    </row>
    <row r="420" ht="21" customHeight="1">
      <c r="A420" s="35" t="n"/>
      <c r="B420" s="36" t="n"/>
      <c r="C420" s="37">
        <f>IF($A420="","",IF($B420&lt;&gt;"",$B420,IF($A420=$A419,$E419,Configuración!$C$5)))</f>
        <v/>
      </c>
      <c r="D420" s="38" t="n"/>
      <c r="E420" s="37">
        <f>IF(OR($C420="",$D420=""),"",$C420+$D420/1440)</f>
        <v/>
      </c>
      <c r="F420" s="39" t="n"/>
      <c r="G420" s="40" t="n"/>
      <c r="H420" s="40" t="n"/>
      <c r="I420" s="40" t="n"/>
      <c r="J420" s="40" t="n"/>
      <c r="K420" s="40" t="n"/>
      <c r="L420" s="41" t="n"/>
      <c r="M420" s="42">
        <f>IF(OR($C420="",$E420="",$H420="",$K420="Cancelada"),"",IF(COUNTIFS($A$5:$A$504,$A420,$H$5:$H$504,$H420,$K$5:$K$504,"&lt;&gt;Cancelada",$C$5:$C$504,"&lt;"&amp;$E420,$E$5:$E$504,"&gt;"&amp;$C420)&gt;1,"Se solapa con otra actividad en esta sala",""))</f>
        <v/>
      </c>
    </row>
    <row r="421" ht="21" customHeight="1">
      <c r="A421" s="35" t="n"/>
      <c r="B421" s="36" t="n"/>
      <c r="C421" s="37">
        <f>IF($A421="","",IF($B421&lt;&gt;"",$B421,IF($A421=$A420,$E420,Configuración!$C$5)))</f>
        <v/>
      </c>
      <c r="D421" s="38" t="n"/>
      <c r="E421" s="37">
        <f>IF(OR($C421="",$D421=""),"",$C421+$D421/1440)</f>
        <v/>
      </c>
      <c r="F421" s="39" t="n"/>
      <c r="G421" s="40" t="n"/>
      <c r="H421" s="40" t="n"/>
      <c r="I421" s="40" t="n"/>
      <c r="J421" s="40" t="n"/>
      <c r="K421" s="40" t="n"/>
      <c r="L421" s="41" t="n"/>
      <c r="M421" s="42">
        <f>IF(OR($C421="",$E421="",$H421="",$K421="Cancelada"),"",IF(COUNTIFS($A$5:$A$504,$A421,$H$5:$H$504,$H421,$K$5:$K$504,"&lt;&gt;Cancelada",$C$5:$C$504,"&lt;"&amp;$E421,$E$5:$E$504,"&gt;"&amp;$C421)&gt;1,"Se solapa con otra actividad en esta sala",""))</f>
        <v/>
      </c>
    </row>
    <row r="422" ht="21" customHeight="1">
      <c r="A422" s="35" t="n"/>
      <c r="B422" s="36" t="n"/>
      <c r="C422" s="37">
        <f>IF($A422="","",IF($B422&lt;&gt;"",$B422,IF($A422=$A421,$E421,Configuración!$C$5)))</f>
        <v/>
      </c>
      <c r="D422" s="38" t="n"/>
      <c r="E422" s="37">
        <f>IF(OR($C422="",$D422=""),"",$C422+$D422/1440)</f>
        <v/>
      </c>
      <c r="F422" s="39" t="n"/>
      <c r="G422" s="40" t="n"/>
      <c r="H422" s="40" t="n"/>
      <c r="I422" s="40" t="n"/>
      <c r="J422" s="40" t="n"/>
      <c r="K422" s="40" t="n"/>
      <c r="L422" s="41" t="n"/>
      <c r="M422" s="42">
        <f>IF(OR($C422="",$E422="",$H422="",$K422="Cancelada"),"",IF(COUNTIFS($A$5:$A$504,$A422,$H$5:$H$504,$H422,$K$5:$K$504,"&lt;&gt;Cancelada",$C$5:$C$504,"&lt;"&amp;$E422,$E$5:$E$504,"&gt;"&amp;$C422)&gt;1,"Se solapa con otra actividad en esta sala",""))</f>
        <v/>
      </c>
    </row>
    <row r="423" ht="21" customHeight="1">
      <c r="A423" s="35" t="n"/>
      <c r="B423" s="36" t="n"/>
      <c r="C423" s="37">
        <f>IF($A423="","",IF($B423&lt;&gt;"",$B423,IF($A423=$A422,$E422,Configuración!$C$5)))</f>
        <v/>
      </c>
      <c r="D423" s="38" t="n"/>
      <c r="E423" s="37">
        <f>IF(OR($C423="",$D423=""),"",$C423+$D423/1440)</f>
        <v/>
      </c>
      <c r="F423" s="39" t="n"/>
      <c r="G423" s="40" t="n"/>
      <c r="H423" s="40" t="n"/>
      <c r="I423" s="40" t="n"/>
      <c r="J423" s="40" t="n"/>
      <c r="K423" s="40" t="n"/>
      <c r="L423" s="41" t="n"/>
      <c r="M423" s="42">
        <f>IF(OR($C423="",$E423="",$H423="",$K423="Cancelada"),"",IF(COUNTIFS($A$5:$A$504,$A423,$H$5:$H$504,$H423,$K$5:$K$504,"&lt;&gt;Cancelada",$C$5:$C$504,"&lt;"&amp;$E423,$E$5:$E$504,"&gt;"&amp;$C423)&gt;1,"Se solapa con otra actividad en esta sala",""))</f>
        <v/>
      </c>
    </row>
    <row r="424" ht="21" customHeight="1">
      <c r="A424" s="35" t="n"/>
      <c r="B424" s="36" t="n"/>
      <c r="C424" s="37">
        <f>IF($A424="","",IF($B424&lt;&gt;"",$B424,IF($A424=$A423,$E423,Configuración!$C$5)))</f>
        <v/>
      </c>
      <c r="D424" s="38" t="n"/>
      <c r="E424" s="37">
        <f>IF(OR($C424="",$D424=""),"",$C424+$D424/1440)</f>
        <v/>
      </c>
      <c r="F424" s="39" t="n"/>
      <c r="G424" s="40" t="n"/>
      <c r="H424" s="40" t="n"/>
      <c r="I424" s="40" t="n"/>
      <c r="J424" s="40" t="n"/>
      <c r="K424" s="40" t="n"/>
      <c r="L424" s="41" t="n"/>
      <c r="M424" s="42">
        <f>IF(OR($C424="",$E424="",$H424="",$K424="Cancelada"),"",IF(COUNTIFS($A$5:$A$504,$A424,$H$5:$H$504,$H424,$K$5:$K$504,"&lt;&gt;Cancelada",$C$5:$C$504,"&lt;"&amp;$E424,$E$5:$E$504,"&gt;"&amp;$C424)&gt;1,"Se solapa con otra actividad en esta sala",""))</f>
        <v/>
      </c>
    </row>
    <row r="425" ht="21" customHeight="1">
      <c r="A425" s="35" t="n"/>
      <c r="B425" s="36" t="n"/>
      <c r="C425" s="37">
        <f>IF($A425="","",IF($B425&lt;&gt;"",$B425,IF($A425=$A424,$E424,Configuración!$C$5)))</f>
        <v/>
      </c>
      <c r="D425" s="38" t="n"/>
      <c r="E425" s="37">
        <f>IF(OR($C425="",$D425=""),"",$C425+$D425/1440)</f>
        <v/>
      </c>
      <c r="F425" s="39" t="n"/>
      <c r="G425" s="40" t="n"/>
      <c r="H425" s="40" t="n"/>
      <c r="I425" s="40" t="n"/>
      <c r="J425" s="40" t="n"/>
      <c r="K425" s="40" t="n"/>
      <c r="L425" s="41" t="n"/>
      <c r="M425" s="42">
        <f>IF(OR($C425="",$E425="",$H425="",$K425="Cancelada"),"",IF(COUNTIFS($A$5:$A$504,$A425,$H$5:$H$504,$H425,$K$5:$K$504,"&lt;&gt;Cancelada",$C$5:$C$504,"&lt;"&amp;$E425,$E$5:$E$504,"&gt;"&amp;$C425)&gt;1,"Se solapa con otra actividad en esta sala",""))</f>
        <v/>
      </c>
    </row>
    <row r="426" ht="21" customHeight="1">
      <c r="A426" s="35" t="n"/>
      <c r="B426" s="36" t="n"/>
      <c r="C426" s="37">
        <f>IF($A426="","",IF($B426&lt;&gt;"",$B426,IF($A426=$A425,$E425,Configuración!$C$5)))</f>
        <v/>
      </c>
      <c r="D426" s="38" t="n"/>
      <c r="E426" s="37">
        <f>IF(OR($C426="",$D426=""),"",$C426+$D426/1440)</f>
        <v/>
      </c>
      <c r="F426" s="39" t="n"/>
      <c r="G426" s="40" t="n"/>
      <c r="H426" s="40" t="n"/>
      <c r="I426" s="40" t="n"/>
      <c r="J426" s="40" t="n"/>
      <c r="K426" s="40" t="n"/>
      <c r="L426" s="41" t="n"/>
      <c r="M426" s="42">
        <f>IF(OR($C426="",$E426="",$H426="",$K426="Cancelada"),"",IF(COUNTIFS($A$5:$A$504,$A426,$H$5:$H$504,$H426,$K$5:$K$504,"&lt;&gt;Cancelada",$C$5:$C$504,"&lt;"&amp;$E426,$E$5:$E$504,"&gt;"&amp;$C426)&gt;1,"Se solapa con otra actividad en esta sala",""))</f>
        <v/>
      </c>
    </row>
    <row r="427" ht="21" customHeight="1">
      <c r="A427" s="35" t="n"/>
      <c r="B427" s="36" t="n"/>
      <c r="C427" s="37">
        <f>IF($A427="","",IF($B427&lt;&gt;"",$B427,IF($A427=$A426,$E426,Configuración!$C$5)))</f>
        <v/>
      </c>
      <c r="D427" s="38" t="n"/>
      <c r="E427" s="37">
        <f>IF(OR($C427="",$D427=""),"",$C427+$D427/1440)</f>
        <v/>
      </c>
      <c r="F427" s="39" t="n"/>
      <c r="G427" s="40" t="n"/>
      <c r="H427" s="40" t="n"/>
      <c r="I427" s="40" t="n"/>
      <c r="J427" s="40" t="n"/>
      <c r="K427" s="40" t="n"/>
      <c r="L427" s="41" t="n"/>
      <c r="M427" s="42">
        <f>IF(OR($C427="",$E427="",$H427="",$K427="Cancelada"),"",IF(COUNTIFS($A$5:$A$504,$A427,$H$5:$H$504,$H427,$K$5:$K$504,"&lt;&gt;Cancelada",$C$5:$C$504,"&lt;"&amp;$E427,$E$5:$E$504,"&gt;"&amp;$C427)&gt;1,"Se solapa con otra actividad en esta sala",""))</f>
        <v/>
      </c>
    </row>
    <row r="428" ht="21" customHeight="1">
      <c r="A428" s="35" t="n"/>
      <c r="B428" s="36" t="n"/>
      <c r="C428" s="37">
        <f>IF($A428="","",IF($B428&lt;&gt;"",$B428,IF($A428=$A427,$E427,Configuración!$C$5)))</f>
        <v/>
      </c>
      <c r="D428" s="38" t="n"/>
      <c r="E428" s="37">
        <f>IF(OR($C428="",$D428=""),"",$C428+$D428/1440)</f>
        <v/>
      </c>
      <c r="F428" s="39" t="n"/>
      <c r="G428" s="40" t="n"/>
      <c r="H428" s="40" t="n"/>
      <c r="I428" s="40" t="n"/>
      <c r="J428" s="40" t="n"/>
      <c r="K428" s="40" t="n"/>
      <c r="L428" s="41" t="n"/>
      <c r="M428" s="42">
        <f>IF(OR($C428="",$E428="",$H428="",$K428="Cancelada"),"",IF(COUNTIFS($A$5:$A$504,$A428,$H$5:$H$504,$H428,$K$5:$K$504,"&lt;&gt;Cancelada",$C$5:$C$504,"&lt;"&amp;$E428,$E$5:$E$504,"&gt;"&amp;$C428)&gt;1,"Se solapa con otra actividad en esta sala",""))</f>
        <v/>
      </c>
    </row>
    <row r="429" ht="21" customHeight="1">
      <c r="A429" s="35" t="n"/>
      <c r="B429" s="36" t="n"/>
      <c r="C429" s="37">
        <f>IF($A429="","",IF($B429&lt;&gt;"",$B429,IF($A429=$A428,$E428,Configuración!$C$5)))</f>
        <v/>
      </c>
      <c r="D429" s="38" t="n"/>
      <c r="E429" s="37">
        <f>IF(OR($C429="",$D429=""),"",$C429+$D429/1440)</f>
        <v/>
      </c>
      <c r="F429" s="39" t="n"/>
      <c r="G429" s="40" t="n"/>
      <c r="H429" s="40" t="n"/>
      <c r="I429" s="40" t="n"/>
      <c r="J429" s="40" t="n"/>
      <c r="K429" s="40" t="n"/>
      <c r="L429" s="41" t="n"/>
      <c r="M429" s="42">
        <f>IF(OR($C429="",$E429="",$H429="",$K429="Cancelada"),"",IF(COUNTIFS($A$5:$A$504,$A429,$H$5:$H$504,$H429,$K$5:$K$504,"&lt;&gt;Cancelada",$C$5:$C$504,"&lt;"&amp;$E429,$E$5:$E$504,"&gt;"&amp;$C429)&gt;1,"Se solapa con otra actividad en esta sala",""))</f>
        <v/>
      </c>
    </row>
    <row r="430" ht="21" customHeight="1">
      <c r="A430" s="35" t="n"/>
      <c r="B430" s="36" t="n"/>
      <c r="C430" s="37">
        <f>IF($A430="","",IF($B430&lt;&gt;"",$B430,IF($A430=$A429,$E429,Configuración!$C$5)))</f>
        <v/>
      </c>
      <c r="D430" s="38" t="n"/>
      <c r="E430" s="37">
        <f>IF(OR($C430="",$D430=""),"",$C430+$D430/1440)</f>
        <v/>
      </c>
      <c r="F430" s="39" t="n"/>
      <c r="G430" s="40" t="n"/>
      <c r="H430" s="40" t="n"/>
      <c r="I430" s="40" t="n"/>
      <c r="J430" s="40" t="n"/>
      <c r="K430" s="40" t="n"/>
      <c r="L430" s="41" t="n"/>
      <c r="M430" s="42">
        <f>IF(OR($C430="",$E430="",$H430="",$K430="Cancelada"),"",IF(COUNTIFS($A$5:$A$504,$A430,$H$5:$H$504,$H430,$K$5:$K$504,"&lt;&gt;Cancelada",$C$5:$C$504,"&lt;"&amp;$E430,$E$5:$E$504,"&gt;"&amp;$C430)&gt;1,"Se solapa con otra actividad en esta sala",""))</f>
        <v/>
      </c>
    </row>
    <row r="431" ht="21" customHeight="1">
      <c r="A431" s="35" t="n"/>
      <c r="B431" s="36" t="n"/>
      <c r="C431" s="37">
        <f>IF($A431="","",IF($B431&lt;&gt;"",$B431,IF($A431=$A430,$E430,Configuración!$C$5)))</f>
        <v/>
      </c>
      <c r="D431" s="38" t="n"/>
      <c r="E431" s="37">
        <f>IF(OR($C431="",$D431=""),"",$C431+$D431/1440)</f>
        <v/>
      </c>
      <c r="F431" s="39" t="n"/>
      <c r="G431" s="40" t="n"/>
      <c r="H431" s="40" t="n"/>
      <c r="I431" s="40" t="n"/>
      <c r="J431" s="40" t="n"/>
      <c r="K431" s="40" t="n"/>
      <c r="L431" s="41" t="n"/>
      <c r="M431" s="42">
        <f>IF(OR($C431="",$E431="",$H431="",$K431="Cancelada"),"",IF(COUNTIFS($A$5:$A$504,$A431,$H$5:$H$504,$H431,$K$5:$K$504,"&lt;&gt;Cancelada",$C$5:$C$504,"&lt;"&amp;$E431,$E$5:$E$504,"&gt;"&amp;$C431)&gt;1,"Se solapa con otra actividad en esta sala",""))</f>
        <v/>
      </c>
    </row>
    <row r="432" ht="21" customHeight="1">
      <c r="A432" s="35" t="n"/>
      <c r="B432" s="36" t="n"/>
      <c r="C432" s="37">
        <f>IF($A432="","",IF($B432&lt;&gt;"",$B432,IF($A432=$A431,$E431,Configuración!$C$5)))</f>
        <v/>
      </c>
      <c r="D432" s="38" t="n"/>
      <c r="E432" s="37">
        <f>IF(OR($C432="",$D432=""),"",$C432+$D432/1440)</f>
        <v/>
      </c>
      <c r="F432" s="39" t="n"/>
      <c r="G432" s="40" t="n"/>
      <c r="H432" s="40" t="n"/>
      <c r="I432" s="40" t="n"/>
      <c r="J432" s="40" t="n"/>
      <c r="K432" s="40" t="n"/>
      <c r="L432" s="41" t="n"/>
      <c r="M432" s="42">
        <f>IF(OR($C432="",$E432="",$H432="",$K432="Cancelada"),"",IF(COUNTIFS($A$5:$A$504,$A432,$H$5:$H$504,$H432,$K$5:$K$504,"&lt;&gt;Cancelada",$C$5:$C$504,"&lt;"&amp;$E432,$E$5:$E$504,"&gt;"&amp;$C432)&gt;1,"Se solapa con otra actividad en esta sala",""))</f>
        <v/>
      </c>
    </row>
    <row r="433" ht="21" customHeight="1">
      <c r="A433" s="35" t="n"/>
      <c r="B433" s="36" t="n"/>
      <c r="C433" s="37">
        <f>IF($A433="","",IF($B433&lt;&gt;"",$B433,IF($A433=$A432,$E432,Configuración!$C$5)))</f>
        <v/>
      </c>
      <c r="D433" s="38" t="n"/>
      <c r="E433" s="37">
        <f>IF(OR($C433="",$D433=""),"",$C433+$D433/1440)</f>
        <v/>
      </c>
      <c r="F433" s="39" t="n"/>
      <c r="G433" s="40" t="n"/>
      <c r="H433" s="40" t="n"/>
      <c r="I433" s="40" t="n"/>
      <c r="J433" s="40" t="n"/>
      <c r="K433" s="40" t="n"/>
      <c r="L433" s="41" t="n"/>
      <c r="M433" s="42">
        <f>IF(OR($C433="",$E433="",$H433="",$K433="Cancelada"),"",IF(COUNTIFS($A$5:$A$504,$A433,$H$5:$H$504,$H433,$K$5:$K$504,"&lt;&gt;Cancelada",$C$5:$C$504,"&lt;"&amp;$E433,$E$5:$E$504,"&gt;"&amp;$C433)&gt;1,"Se solapa con otra actividad en esta sala",""))</f>
        <v/>
      </c>
    </row>
    <row r="434" ht="21" customHeight="1">
      <c r="A434" s="35" t="n"/>
      <c r="B434" s="36" t="n"/>
      <c r="C434" s="37">
        <f>IF($A434="","",IF($B434&lt;&gt;"",$B434,IF($A434=$A433,$E433,Configuración!$C$5)))</f>
        <v/>
      </c>
      <c r="D434" s="38" t="n"/>
      <c r="E434" s="37">
        <f>IF(OR($C434="",$D434=""),"",$C434+$D434/1440)</f>
        <v/>
      </c>
      <c r="F434" s="39" t="n"/>
      <c r="G434" s="40" t="n"/>
      <c r="H434" s="40" t="n"/>
      <c r="I434" s="40" t="n"/>
      <c r="J434" s="40" t="n"/>
      <c r="K434" s="40" t="n"/>
      <c r="L434" s="41" t="n"/>
      <c r="M434" s="42">
        <f>IF(OR($C434="",$E434="",$H434="",$K434="Cancelada"),"",IF(COUNTIFS($A$5:$A$504,$A434,$H$5:$H$504,$H434,$K$5:$K$504,"&lt;&gt;Cancelada",$C$5:$C$504,"&lt;"&amp;$E434,$E$5:$E$504,"&gt;"&amp;$C434)&gt;1,"Se solapa con otra actividad en esta sala",""))</f>
        <v/>
      </c>
    </row>
    <row r="435" ht="21" customHeight="1">
      <c r="A435" s="35" t="n"/>
      <c r="B435" s="36" t="n"/>
      <c r="C435" s="37">
        <f>IF($A435="","",IF($B435&lt;&gt;"",$B435,IF($A435=$A434,$E434,Configuración!$C$5)))</f>
        <v/>
      </c>
      <c r="D435" s="38" t="n"/>
      <c r="E435" s="37">
        <f>IF(OR($C435="",$D435=""),"",$C435+$D435/1440)</f>
        <v/>
      </c>
      <c r="F435" s="39" t="n"/>
      <c r="G435" s="40" t="n"/>
      <c r="H435" s="40" t="n"/>
      <c r="I435" s="40" t="n"/>
      <c r="J435" s="40" t="n"/>
      <c r="K435" s="40" t="n"/>
      <c r="L435" s="41" t="n"/>
      <c r="M435" s="42">
        <f>IF(OR($C435="",$E435="",$H435="",$K435="Cancelada"),"",IF(COUNTIFS($A$5:$A$504,$A435,$H$5:$H$504,$H435,$K$5:$K$504,"&lt;&gt;Cancelada",$C$5:$C$504,"&lt;"&amp;$E435,$E$5:$E$504,"&gt;"&amp;$C435)&gt;1,"Se solapa con otra actividad en esta sala",""))</f>
        <v/>
      </c>
    </row>
    <row r="436" ht="21" customHeight="1">
      <c r="A436" s="35" t="n"/>
      <c r="B436" s="36" t="n"/>
      <c r="C436" s="37">
        <f>IF($A436="","",IF($B436&lt;&gt;"",$B436,IF($A436=$A435,$E435,Configuración!$C$5)))</f>
        <v/>
      </c>
      <c r="D436" s="38" t="n"/>
      <c r="E436" s="37">
        <f>IF(OR($C436="",$D436=""),"",$C436+$D436/1440)</f>
        <v/>
      </c>
      <c r="F436" s="39" t="n"/>
      <c r="G436" s="40" t="n"/>
      <c r="H436" s="40" t="n"/>
      <c r="I436" s="40" t="n"/>
      <c r="J436" s="40" t="n"/>
      <c r="K436" s="40" t="n"/>
      <c r="L436" s="41" t="n"/>
      <c r="M436" s="42">
        <f>IF(OR($C436="",$E436="",$H436="",$K436="Cancelada"),"",IF(COUNTIFS($A$5:$A$504,$A436,$H$5:$H$504,$H436,$K$5:$K$504,"&lt;&gt;Cancelada",$C$5:$C$504,"&lt;"&amp;$E436,$E$5:$E$504,"&gt;"&amp;$C436)&gt;1,"Se solapa con otra actividad en esta sala",""))</f>
        <v/>
      </c>
    </row>
    <row r="437" ht="21" customHeight="1">
      <c r="A437" s="35" t="n"/>
      <c r="B437" s="36" t="n"/>
      <c r="C437" s="37">
        <f>IF($A437="","",IF($B437&lt;&gt;"",$B437,IF($A437=$A436,$E436,Configuración!$C$5)))</f>
        <v/>
      </c>
      <c r="D437" s="38" t="n"/>
      <c r="E437" s="37">
        <f>IF(OR($C437="",$D437=""),"",$C437+$D437/1440)</f>
        <v/>
      </c>
      <c r="F437" s="39" t="n"/>
      <c r="G437" s="40" t="n"/>
      <c r="H437" s="40" t="n"/>
      <c r="I437" s="40" t="n"/>
      <c r="J437" s="40" t="n"/>
      <c r="K437" s="40" t="n"/>
      <c r="L437" s="41" t="n"/>
      <c r="M437" s="42">
        <f>IF(OR($C437="",$E437="",$H437="",$K437="Cancelada"),"",IF(COUNTIFS($A$5:$A$504,$A437,$H$5:$H$504,$H437,$K$5:$K$504,"&lt;&gt;Cancelada",$C$5:$C$504,"&lt;"&amp;$E437,$E$5:$E$504,"&gt;"&amp;$C437)&gt;1,"Se solapa con otra actividad en esta sala",""))</f>
        <v/>
      </c>
    </row>
    <row r="438" ht="21" customHeight="1">
      <c r="A438" s="35" t="n"/>
      <c r="B438" s="36" t="n"/>
      <c r="C438" s="37">
        <f>IF($A438="","",IF($B438&lt;&gt;"",$B438,IF($A438=$A437,$E437,Configuración!$C$5)))</f>
        <v/>
      </c>
      <c r="D438" s="38" t="n"/>
      <c r="E438" s="37">
        <f>IF(OR($C438="",$D438=""),"",$C438+$D438/1440)</f>
        <v/>
      </c>
      <c r="F438" s="39" t="n"/>
      <c r="G438" s="40" t="n"/>
      <c r="H438" s="40" t="n"/>
      <c r="I438" s="40" t="n"/>
      <c r="J438" s="40" t="n"/>
      <c r="K438" s="40" t="n"/>
      <c r="L438" s="41" t="n"/>
      <c r="M438" s="42">
        <f>IF(OR($C438="",$E438="",$H438="",$K438="Cancelada"),"",IF(COUNTIFS($A$5:$A$504,$A438,$H$5:$H$504,$H438,$K$5:$K$504,"&lt;&gt;Cancelada",$C$5:$C$504,"&lt;"&amp;$E438,$E$5:$E$504,"&gt;"&amp;$C438)&gt;1,"Se solapa con otra actividad en esta sala",""))</f>
        <v/>
      </c>
    </row>
    <row r="439" ht="21" customHeight="1">
      <c r="A439" s="35" t="n"/>
      <c r="B439" s="36" t="n"/>
      <c r="C439" s="37">
        <f>IF($A439="","",IF($B439&lt;&gt;"",$B439,IF($A439=$A438,$E438,Configuración!$C$5)))</f>
        <v/>
      </c>
      <c r="D439" s="38" t="n"/>
      <c r="E439" s="37">
        <f>IF(OR($C439="",$D439=""),"",$C439+$D439/1440)</f>
        <v/>
      </c>
      <c r="F439" s="39" t="n"/>
      <c r="G439" s="40" t="n"/>
      <c r="H439" s="40" t="n"/>
      <c r="I439" s="40" t="n"/>
      <c r="J439" s="40" t="n"/>
      <c r="K439" s="40" t="n"/>
      <c r="L439" s="41" t="n"/>
      <c r="M439" s="42">
        <f>IF(OR($C439="",$E439="",$H439="",$K439="Cancelada"),"",IF(COUNTIFS($A$5:$A$504,$A439,$H$5:$H$504,$H439,$K$5:$K$504,"&lt;&gt;Cancelada",$C$5:$C$504,"&lt;"&amp;$E439,$E$5:$E$504,"&gt;"&amp;$C439)&gt;1,"Se solapa con otra actividad en esta sala",""))</f>
        <v/>
      </c>
    </row>
    <row r="440" ht="21" customHeight="1">
      <c r="A440" s="35" t="n"/>
      <c r="B440" s="36" t="n"/>
      <c r="C440" s="37">
        <f>IF($A440="","",IF($B440&lt;&gt;"",$B440,IF($A440=$A439,$E439,Configuración!$C$5)))</f>
        <v/>
      </c>
      <c r="D440" s="38" t="n"/>
      <c r="E440" s="37">
        <f>IF(OR($C440="",$D440=""),"",$C440+$D440/1440)</f>
        <v/>
      </c>
      <c r="F440" s="39" t="n"/>
      <c r="G440" s="40" t="n"/>
      <c r="H440" s="40" t="n"/>
      <c r="I440" s="40" t="n"/>
      <c r="J440" s="40" t="n"/>
      <c r="K440" s="40" t="n"/>
      <c r="L440" s="41" t="n"/>
      <c r="M440" s="42">
        <f>IF(OR($C440="",$E440="",$H440="",$K440="Cancelada"),"",IF(COUNTIFS($A$5:$A$504,$A440,$H$5:$H$504,$H440,$K$5:$K$504,"&lt;&gt;Cancelada",$C$5:$C$504,"&lt;"&amp;$E440,$E$5:$E$504,"&gt;"&amp;$C440)&gt;1,"Se solapa con otra actividad en esta sala",""))</f>
        <v/>
      </c>
    </row>
    <row r="441" ht="21" customHeight="1">
      <c r="A441" s="35" t="n"/>
      <c r="B441" s="36" t="n"/>
      <c r="C441" s="37">
        <f>IF($A441="","",IF($B441&lt;&gt;"",$B441,IF($A441=$A440,$E440,Configuración!$C$5)))</f>
        <v/>
      </c>
      <c r="D441" s="38" t="n"/>
      <c r="E441" s="37">
        <f>IF(OR($C441="",$D441=""),"",$C441+$D441/1440)</f>
        <v/>
      </c>
      <c r="F441" s="39" t="n"/>
      <c r="G441" s="40" t="n"/>
      <c r="H441" s="40" t="n"/>
      <c r="I441" s="40" t="n"/>
      <c r="J441" s="40" t="n"/>
      <c r="K441" s="40" t="n"/>
      <c r="L441" s="41" t="n"/>
      <c r="M441" s="42">
        <f>IF(OR($C441="",$E441="",$H441="",$K441="Cancelada"),"",IF(COUNTIFS($A$5:$A$504,$A441,$H$5:$H$504,$H441,$K$5:$K$504,"&lt;&gt;Cancelada",$C$5:$C$504,"&lt;"&amp;$E441,$E$5:$E$504,"&gt;"&amp;$C441)&gt;1,"Se solapa con otra actividad en esta sala",""))</f>
        <v/>
      </c>
    </row>
    <row r="442" ht="21" customHeight="1">
      <c r="A442" s="35" t="n"/>
      <c r="B442" s="36" t="n"/>
      <c r="C442" s="37">
        <f>IF($A442="","",IF($B442&lt;&gt;"",$B442,IF($A442=$A441,$E441,Configuración!$C$5)))</f>
        <v/>
      </c>
      <c r="D442" s="38" t="n"/>
      <c r="E442" s="37">
        <f>IF(OR($C442="",$D442=""),"",$C442+$D442/1440)</f>
        <v/>
      </c>
      <c r="F442" s="39" t="n"/>
      <c r="G442" s="40" t="n"/>
      <c r="H442" s="40" t="n"/>
      <c r="I442" s="40" t="n"/>
      <c r="J442" s="40" t="n"/>
      <c r="K442" s="40" t="n"/>
      <c r="L442" s="41" t="n"/>
      <c r="M442" s="42">
        <f>IF(OR($C442="",$E442="",$H442="",$K442="Cancelada"),"",IF(COUNTIFS($A$5:$A$504,$A442,$H$5:$H$504,$H442,$K$5:$K$504,"&lt;&gt;Cancelada",$C$5:$C$504,"&lt;"&amp;$E442,$E$5:$E$504,"&gt;"&amp;$C442)&gt;1,"Se solapa con otra actividad en esta sala",""))</f>
        <v/>
      </c>
    </row>
    <row r="443" ht="21" customHeight="1">
      <c r="A443" s="35" t="n"/>
      <c r="B443" s="36" t="n"/>
      <c r="C443" s="37">
        <f>IF($A443="","",IF($B443&lt;&gt;"",$B443,IF($A443=$A442,$E442,Configuración!$C$5)))</f>
        <v/>
      </c>
      <c r="D443" s="38" t="n"/>
      <c r="E443" s="37">
        <f>IF(OR($C443="",$D443=""),"",$C443+$D443/1440)</f>
        <v/>
      </c>
      <c r="F443" s="39" t="n"/>
      <c r="G443" s="40" t="n"/>
      <c r="H443" s="40" t="n"/>
      <c r="I443" s="40" t="n"/>
      <c r="J443" s="40" t="n"/>
      <c r="K443" s="40" t="n"/>
      <c r="L443" s="41" t="n"/>
      <c r="M443" s="42">
        <f>IF(OR($C443="",$E443="",$H443="",$K443="Cancelada"),"",IF(COUNTIFS($A$5:$A$504,$A443,$H$5:$H$504,$H443,$K$5:$K$504,"&lt;&gt;Cancelada",$C$5:$C$504,"&lt;"&amp;$E443,$E$5:$E$504,"&gt;"&amp;$C443)&gt;1,"Se solapa con otra actividad en esta sala",""))</f>
        <v/>
      </c>
    </row>
    <row r="444" ht="21" customHeight="1">
      <c r="A444" s="35" t="n"/>
      <c r="B444" s="36" t="n"/>
      <c r="C444" s="37">
        <f>IF($A444="","",IF($B444&lt;&gt;"",$B444,IF($A444=$A443,$E443,Configuración!$C$5)))</f>
        <v/>
      </c>
      <c r="D444" s="38" t="n"/>
      <c r="E444" s="37">
        <f>IF(OR($C444="",$D444=""),"",$C444+$D444/1440)</f>
        <v/>
      </c>
      <c r="F444" s="39" t="n"/>
      <c r="G444" s="40" t="n"/>
      <c r="H444" s="40" t="n"/>
      <c r="I444" s="40" t="n"/>
      <c r="J444" s="40" t="n"/>
      <c r="K444" s="40" t="n"/>
      <c r="L444" s="41" t="n"/>
      <c r="M444" s="42">
        <f>IF(OR($C444="",$E444="",$H444="",$K444="Cancelada"),"",IF(COUNTIFS($A$5:$A$504,$A444,$H$5:$H$504,$H444,$K$5:$K$504,"&lt;&gt;Cancelada",$C$5:$C$504,"&lt;"&amp;$E444,$E$5:$E$504,"&gt;"&amp;$C444)&gt;1,"Se solapa con otra actividad en esta sala",""))</f>
        <v/>
      </c>
    </row>
    <row r="445" ht="21" customHeight="1">
      <c r="A445" s="35" t="n"/>
      <c r="B445" s="36" t="n"/>
      <c r="C445" s="37">
        <f>IF($A445="","",IF($B445&lt;&gt;"",$B445,IF($A445=$A444,$E444,Configuración!$C$5)))</f>
        <v/>
      </c>
      <c r="D445" s="38" t="n"/>
      <c r="E445" s="37">
        <f>IF(OR($C445="",$D445=""),"",$C445+$D445/1440)</f>
        <v/>
      </c>
      <c r="F445" s="39" t="n"/>
      <c r="G445" s="40" t="n"/>
      <c r="H445" s="40" t="n"/>
      <c r="I445" s="40" t="n"/>
      <c r="J445" s="40" t="n"/>
      <c r="K445" s="40" t="n"/>
      <c r="L445" s="41" t="n"/>
      <c r="M445" s="42">
        <f>IF(OR($C445="",$E445="",$H445="",$K445="Cancelada"),"",IF(COUNTIFS($A$5:$A$504,$A445,$H$5:$H$504,$H445,$K$5:$K$504,"&lt;&gt;Cancelada",$C$5:$C$504,"&lt;"&amp;$E445,$E$5:$E$504,"&gt;"&amp;$C445)&gt;1,"Se solapa con otra actividad en esta sala",""))</f>
        <v/>
      </c>
    </row>
    <row r="446" ht="21" customHeight="1">
      <c r="A446" s="35" t="n"/>
      <c r="B446" s="36" t="n"/>
      <c r="C446" s="37">
        <f>IF($A446="","",IF($B446&lt;&gt;"",$B446,IF($A446=$A445,$E445,Configuración!$C$5)))</f>
        <v/>
      </c>
      <c r="D446" s="38" t="n"/>
      <c r="E446" s="37">
        <f>IF(OR($C446="",$D446=""),"",$C446+$D446/1440)</f>
        <v/>
      </c>
      <c r="F446" s="39" t="n"/>
      <c r="G446" s="40" t="n"/>
      <c r="H446" s="40" t="n"/>
      <c r="I446" s="40" t="n"/>
      <c r="J446" s="40" t="n"/>
      <c r="K446" s="40" t="n"/>
      <c r="L446" s="41" t="n"/>
      <c r="M446" s="42">
        <f>IF(OR($C446="",$E446="",$H446="",$K446="Cancelada"),"",IF(COUNTIFS($A$5:$A$504,$A446,$H$5:$H$504,$H446,$K$5:$K$504,"&lt;&gt;Cancelada",$C$5:$C$504,"&lt;"&amp;$E446,$E$5:$E$504,"&gt;"&amp;$C446)&gt;1,"Se solapa con otra actividad en esta sala",""))</f>
        <v/>
      </c>
    </row>
    <row r="447" ht="21" customHeight="1">
      <c r="A447" s="35" t="n"/>
      <c r="B447" s="36" t="n"/>
      <c r="C447" s="37">
        <f>IF($A447="","",IF($B447&lt;&gt;"",$B447,IF($A447=$A446,$E446,Configuración!$C$5)))</f>
        <v/>
      </c>
      <c r="D447" s="38" t="n"/>
      <c r="E447" s="37">
        <f>IF(OR($C447="",$D447=""),"",$C447+$D447/1440)</f>
        <v/>
      </c>
      <c r="F447" s="39" t="n"/>
      <c r="G447" s="40" t="n"/>
      <c r="H447" s="40" t="n"/>
      <c r="I447" s="40" t="n"/>
      <c r="J447" s="40" t="n"/>
      <c r="K447" s="40" t="n"/>
      <c r="L447" s="41" t="n"/>
      <c r="M447" s="42">
        <f>IF(OR($C447="",$E447="",$H447="",$K447="Cancelada"),"",IF(COUNTIFS($A$5:$A$504,$A447,$H$5:$H$504,$H447,$K$5:$K$504,"&lt;&gt;Cancelada",$C$5:$C$504,"&lt;"&amp;$E447,$E$5:$E$504,"&gt;"&amp;$C447)&gt;1,"Se solapa con otra actividad en esta sala",""))</f>
        <v/>
      </c>
    </row>
    <row r="448" ht="21" customHeight="1">
      <c r="A448" s="35" t="n"/>
      <c r="B448" s="36" t="n"/>
      <c r="C448" s="37">
        <f>IF($A448="","",IF($B448&lt;&gt;"",$B448,IF($A448=$A447,$E447,Configuración!$C$5)))</f>
        <v/>
      </c>
      <c r="D448" s="38" t="n"/>
      <c r="E448" s="37">
        <f>IF(OR($C448="",$D448=""),"",$C448+$D448/1440)</f>
        <v/>
      </c>
      <c r="F448" s="39" t="n"/>
      <c r="G448" s="40" t="n"/>
      <c r="H448" s="40" t="n"/>
      <c r="I448" s="40" t="n"/>
      <c r="J448" s="40" t="n"/>
      <c r="K448" s="40" t="n"/>
      <c r="L448" s="41" t="n"/>
      <c r="M448" s="42">
        <f>IF(OR($C448="",$E448="",$H448="",$K448="Cancelada"),"",IF(COUNTIFS($A$5:$A$504,$A448,$H$5:$H$504,$H448,$K$5:$K$504,"&lt;&gt;Cancelada",$C$5:$C$504,"&lt;"&amp;$E448,$E$5:$E$504,"&gt;"&amp;$C448)&gt;1,"Se solapa con otra actividad en esta sala",""))</f>
        <v/>
      </c>
    </row>
    <row r="449" ht="21" customHeight="1">
      <c r="A449" s="35" t="n"/>
      <c r="B449" s="36" t="n"/>
      <c r="C449" s="37">
        <f>IF($A449="","",IF($B449&lt;&gt;"",$B449,IF($A449=$A448,$E448,Configuración!$C$5)))</f>
        <v/>
      </c>
      <c r="D449" s="38" t="n"/>
      <c r="E449" s="37">
        <f>IF(OR($C449="",$D449=""),"",$C449+$D449/1440)</f>
        <v/>
      </c>
      <c r="F449" s="39" t="n"/>
      <c r="G449" s="40" t="n"/>
      <c r="H449" s="40" t="n"/>
      <c r="I449" s="40" t="n"/>
      <c r="J449" s="40" t="n"/>
      <c r="K449" s="40" t="n"/>
      <c r="L449" s="41" t="n"/>
      <c r="M449" s="42">
        <f>IF(OR($C449="",$E449="",$H449="",$K449="Cancelada"),"",IF(COUNTIFS($A$5:$A$504,$A449,$H$5:$H$504,$H449,$K$5:$K$504,"&lt;&gt;Cancelada",$C$5:$C$504,"&lt;"&amp;$E449,$E$5:$E$504,"&gt;"&amp;$C449)&gt;1,"Se solapa con otra actividad en esta sala",""))</f>
        <v/>
      </c>
    </row>
    <row r="450" ht="21" customHeight="1">
      <c r="A450" s="35" t="n"/>
      <c r="B450" s="36" t="n"/>
      <c r="C450" s="37">
        <f>IF($A450="","",IF($B450&lt;&gt;"",$B450,IF($A450=$A449,$E449,Configuración!$C$5)))</f>
        <v/>
      </c>
      <c r="D450" s="38" t="n"/>
      <c r="E450" s="37">
        <f>IF(OR($C450="",$D450=""),"",$C450+$D450/1440)</f>
        <v/>
      </c>
      <c r="F450" s="39" t="n"/>
      <c r="G450" s="40" t="n"/>
      <c r="H450" s="40" t="n"/>
      <c r="I450" s="40" t="n"/>
      <c r="J450" s="40" t="n"/>
      <c r="K450" s="40" t="n"/>
      <c r="L450" s="41" t="n"/>
      <c r="M450" s="42">
        <f>IF(OR($C450="",$E450="",$H450="",$K450="Cancelada"),"",IF(COUNTIFS($A$5:$A$504,$A450,$H$5:$H$504,$H450,$K$5:$K$504,"&lt;&gt;Cancelada",$C$5:$C$504,"&lt;"&amp;$E450,$E$5:$E$504,"&gt;"&amp;$C450)&gt;1,"Se solapa con otra actividad en esta sala",""))</f>
        <v/>
      </c>
    </row>
    <row r="451" ht="21" customHeight="1">
      <c r="A451" s="35" t="n"/>
      <c r="B451" s="36" t="n"/>
      <c r="C451" s="37">
        <f>IF($A451="","",IF($B451&lt;&gt;"",$B451,IF($A451=$A450,$E450,Configuración!$C$5)))</f>
        <v/>
      </c>
      <c r="D451" s="38" t="n"/>
      <c r="E451" s="37">
        <f>IF(OR($C451="",$D451=""),"",$C451+$D451/1440)</f>
        <v/>
      </c>
      <c r="F451" s="39" t="n"/>
      <c r="G451" s="40" t="n"/>
      <c r="H451" s="40" t="n"/>
      <c r="I451" s="40" t="n"/>
      <c r="J451" s="40" t="n"/>
      <c r="K451" s="40" t="n"/>
      <c r="L451" s="41" t="n"/>
      <c r="M451" s="42">
        <f>IF(OR($C451="",$E451="",$H451="",$K451="Cancelada"),"",IF(COUNTIFS($A$5:$A$504,$A451,$H$5:$H$504,$H451,$K$5:$K$504,"&lt;&gt;Cancelada",$C$5:$C$504,"&lt;"&amp;$E451,$E$5:$E$504,"&gt;"&amp;$C451)&gt;1,"Se solapa con otra actividad en esta sala",""))</f>
        <v/>
      </c>
    </row>
    <row r="452" ht="21" customHeight="1">
      <c r="A452" s="35" t="n"/>
      <c r="B452" s="36" t="n"/>
      <c r="C452" s="37">
        <f>IF($A452="","",IF($B452&lt;&gt;"",$B452,IF($A452=$A451,$E451,Configuración!$C$5)))</f>
        <v/>
      </c>
      <c r="D452" s="38" t="n"/>
      <c r="E452" s="37">
        <f>IF(OR($C452="",$D452=""),"",$C452+$D452/1440)</f>
        <v/>
      </c>
      <c r="F452" s="39" t="n"/>
      <c r="G452" s="40" t="n"/>
      <c r="H452" s="40" t="n"/>
      <c r="I452" s="40" t="n"/>
      <c r="J452" s="40" t="n"/>
      <c r="K452" s="40" t="n"/>
      <c r="L452" s="41" t="n"/>
      <c r="M452" s="42">
        <f>IF(OR($C452="",$E452="",$H452="",$K452="Cancelada"),"",IF(COUNTIFS($A$5:$A$504,$A452,$H$5:$H$504,$H452,$K$5:$K$504,"&lt;&gt;Cancelada",$C$5:$C$504,"&lt;"&amp;$E452,$E$5:$E$504,"&gt;"&amp;$C452)&gt;1,"Se solapa con otra actividad en esta sala",""))</f>
        <v/>
      </c>
    </row>
    <row r="453" ht="21" customHeight="1">
      <c r="A453" s="35" t="n"/>
      <c r="B453" s="36" t="n"/>
      <c r="C453" s="37">
        <f>IF($A453="","",IF($B453&lt;&gt;"",$B453,IF($A453=$A452,$E452,Configuración!$C$5)))</f>
        <v/>
      </c>
      <c r="D453" s="38" t="n"/>
      <c r="E453" s="37">
        <f>IF(OR($C453="",$D453=""),"",$C453+$D453/1440)</f>
        <v/>
      </c>
      <c r="F453" s="39" t="n"/>
      <c r="G453" s="40" t="n"/>
      <c r="H453" s="40" t="n"/>
      <c r="I453" s="40" t="n"/>
      <c r="J453" s="40" t="n"/>
      <c r="K453" s="40" t="n"/>
      <c r="L453" s="41" t="n"/>
      <c r="M453" s="42">
        <f>IF(OR($C453="",$E453="",$H453="",$K453="Cancelada"),"",IF(COUNTIFS($A$5:$A$504,$A453,$H$5:$H$504,$H453,$K$5:$K$504,"&lt;&gt;Cancelada",$C$5:$C$504,"&lt;"&amp;$E453,$E$5:$E$504,"&gt;"&amp;$C453)&gt;1,"Se solapa con otra actividad en esta sala",""))</f>
        <v/>
      </c>
    </row>
    <row r="454" ht="21" customHeight="1">
      <c r="A454" s="35" t="n"/>
      <c r="B454" s="36" t="n"/>
      <c r="C454" s="37">
        <f>IF($A454="","",IF($B454&lt;&gt;"",$B454,IF($A454=$A453,$E453,Configuración!$C$5)))</f>
        <v/>
      </c>
      <c r="D454" s="38" t="n"/>
      <c r="E454" s="37">
        <f>IF(OR($C454="",$D454=""),"",$C454+$D454/1440)</f>
        <v/>
      </c>
      <c r="F454" s="39" t="n"/>
      <c r="G454" s="40" t="n"/>
      <c r="H454" s="40" t="n"/>
      <c r="I454" s="40" t="n"/>
      <c r="J454" s="40" t="n"/>
      <c r="K454" s="40" t="n"/>
      <c r="L454" s="41" t="n"/>
      <c r="M454" s="42">
        <f>IF(OR($C454="",$E454="",$H454="",$K454="Cancelada"),"",IF(COUNTIFS($A$5:$A$504,$A454,$H$5:$H$504,$H454,$K$5:$K$504,"&lt;&gt;Cancelada",$C$5:$C$504,"&lt;"&amp;$E454,$E$5:$E$504,"&gt;"&amp;$C454)&gt;1,"Se solapa con otra actividad en esta sala",""))</f>
        <v/>
      </c>
    </row>
    <row r="455" ht="21" customHeight="1">
      <c r="A455" s="35" t="n"/>
      <c r="B455" s="36" t="n"/>
      <c r="C455" s="37">
        <f>IF($A455="","",IF($B455&lt;&gt;"",$B455,IF($A455=$A454,$E454,Configuración!$C$5)))</f>
        <v/>
      </c>
      <c r="D455" s="38" t="n"/>
      <c r="E455" s="37">
        <f>IF(OR($C455="",$D455=""),"",$C455+$D455/1440)</f>
        <v/>
      </c>
      <c r="F455" s="39" t="n"/>
      <c r="G455" s="40" t="n"/>
      <c r="H455" s="40" t="n"/>
      <c r="I455" s="40" t="n"/>
      <c r="J455" s="40" t="n"/>
      <c r="K455" s="40" t="n"/>
      <c r="L455" s="41" t="n"/>
      <c r="M455" s="42">
        <f>IF(OR($C455="",$E455="",$H455="",$K455="Cancelada"),"",IF(COUNTIFS($A$5:$A$504,$A455,$H$5:$H$504,$H455,$K$5:$K$504,"&lt;&gt;Cancelada",$C$5:$C$504,"&lt;"&amp;$E455,$E$5:$E$504,"&gt;"&amp;$C455)&gt;1,"Se solapa con otra actividad en esta sala",""))</f>
        <v/>
      </c>
    </row>
    <row r="456" ht="21" customHeight="1">
      <c r="A456" s="35" t="n"/>
      <c r="B456" s="36" t="n"/>
      <c r="C456" s="37">
        <f>IF($A456="","",IF($B456&lt;&gt;"",$B456,IF($A456=$A455,$E455,Configuración!$C$5)))</f>
        <v/>
      </c>
      <c r="D456" s="38" t="n"/>
      <c r="E456" s="37">
        <f>IF(OR($C456="",$D456=""),"",$C456+$D456/1440)</f>
        <v/>
      </c>
      <c r="F456" s="39" t="n"/>
      <c r="G456" s="40" t="n"/>
      <c r="H456" s="40" t="n"/>
      <c r="I456" s="40" t="n"/>
      <c r="J456" s="40" t="n"/>
      <c r="K456" s="40" t="n"/>
      <c r="L456" s="41" t="n"/>
      <c r="M456" s="42">
        <f>IF(OR($C456="",$E456="",$H456="",$K456="Cancelada"),"",IF(COUNTIFS($A$5:$A$504,$A456,$H$5:$H$504,$H456,$K$5:$K$504,"&lt;&gt;Cancelada",$C$5:$C$504,"&lt;"&amp;$E456,$E$5:$E$504,"&gt;"&amp;$C456)&gt;1,"Se solapa con otra actividad en esta sala",""))</f>
        <v/>
      </c>
    </row>
    <row r="457" ht="21" customHeight="1">
      <c r="A457" s="35" t="n"/>
      <c r="B457" s="36" t="n"/>
      <c r="C457" s="37">
        <f>IF($A457="","",IF($B457&lt;&gt;"",$B457,IF($A457=$A456,$E456,Configuración!$C$5)))</f>
        <v/>
      </c>
      <c r="D457" s="38" t="n"/>
      <c r="E457" s="37">
        <f>IF(OR($C457="",$D457=""),"",$C457+$D457/1440)</f>
        <v/>
      </c>
      <c r="F457" s="39" t="n"/>
      <c r="G457" s="40" t="n"/>
      <c r="H457" s="40" t="n"/>
      <c r="I457" s="40" t="n"/>
      <c r="J457" s="40" t="n"/>
      <c r="K457" s="40" t="n"/>
      <c r="L457" s="41" t="n"/>
      <c r="M457" s="42">
        <f>IF(OR($C457="",$E457="",$H457="",$K457="Cancelada"),"",IF(COUNTIFS($A$5:$A$504,$A457,$H$5:$H$504,$H457,$K$5:$K$504,"&lt;&gt;Cancelada",$C$5:$C$504,"&lt;"&amp;$E457,$E$5:$E$504,"&gt;"&amp;$C457)&gt;1,"Se solapa con otra actividad en esta sala",""))</f>
        <v/>
      </c>
    </row>
    <row r="458" ht="21" customHeight="1">
      <c r="A458" s="35" t="n"/>
      <c r="B458" s="36" t="n"/>
      <c r="C458" s="37">
        <f>IF($A458="","",IF($B458&lt;&gt;"",$B458,IF($A458=$A457,$E457,Configuración!$C$5)))</f>
        <v/>
      </c>
      <c r="D458" s="38" t="n"/>
      <c r="E458" s="37">
        <f>IF(OR($C458="",$D458=""),"",$C458+$D458/1440)</f>
        <v/>
      </c>
      <c r="F458" s="39" t="n"/>
      <c r="G458" s="40" t="n"/>
      <c r="H458" s="40" t="n"/>
      <c r="I458" s="40" t="n"/>
      <c r="J458" s="40" t="n"/>
      <c r="K458" s="40" t="n"/>
      <c r="L458" s="41" t="n"/>
      <c r="M458" s="42">
        <f>IF(OR($C458="",$E458="",$H458="",$K458="Cancelada"),"",IF(COUNTIFS($A$5:$A$504,$A458,$H$5:$H$504,$H458,$K$5:$K$504,"&lt;&gt;Cancelada",$C$5:$C$504,"&lt;"&amp;$E458,$E$5:$E$504,"&gt;"&amp;$C458)&gt;1,"Se solapa con otra actividad en esta sala",""))</f>
        <v/>
      </c>
    </row>
    <row r="459" ht="21" customHeight="1">
      <c r="A459" s="35" t="n"/>
      <c r="B459" s="36" t="n"/>
      <c r="C459" s="37">
        <f>IF($A459="","",IF($B459&lt;&gt;"",$B459,IF($A459=$A458,$E458,Configuración!$C$5)))</f>
        <v/>
      </c>
      <c r="D459" s="38" t="n"/>
      <c r="E459" s="37">
        <f>IF(OR($C459="",$D459=""),"",$C459+$D459/1440)</f>
        <v/>
      </c>
      <c r="F459" s="39" t="n"/>
      <c r="G459" s="40" t="n"/>
      <c r="H459" s="40" t="n"/>
      <c r="I459" s="40" t="n"/>
      <c r="J459" s="40" t="n"/>
      <c r="K459" s="40" t="n"/>
      <c r="L459" s="41" t="n"/>
      <c r="M459" s="42">
        <f>IF(OR($C459="",$E459="",$H459="",$K459="Cancelada"),"",IF(COUNTIFS($A$5:$A$504,$A459,$H$5:$H$504,$H459,$K$5:$K$504,"&lt;&gt;Cancelada",$C$5:$C$504,"&lt;"&amp;$E459,$E$5:$E$504,"&gt;"&amp;$C459)&gt;1,"Se solapa con otra actividad en esta sala",""))</f>
        <v/>
      </c>
    </row>
    <row r="460" ht="21" customHeight="1">
      <c r="A460" s="35" t="n"/>
      <c r="B460" s="36" t="n"/>
      <c r="C460" s="37">
        <f>IF($A460="","",IF($B460&lt;&gt;"",$B460,IF($A460=$A459,$E459,Configuración!$C$5)))</f>
        <v/>
      </c>
      <c r="D460" s="38" t="n"/>
      <c r="E460" s="37">
        <f>IF(OR($C460="",$D460=""),"",$C460+$D460/1440)</f>
        <v/>
      </c>
      <c r="F460" s="39" t="n"/>
      <c r="G460" s="40" t="n"/>
      <c r="H460" s="40" t="n"/>
      <c r="I460" s="40" t="n"/>
      <c r="J460" s="40" t="n"/>
      <c r="K460" s="40" t="n"/>
      <c r="L460" s="41" t="n"/>
      <c r="M460" s="42">
        <f>IF(OR($C460="",$E460="",$H460="",$K460="Cancelada"),"",IF(COUNTIFS($A$5:$A$504,$A460,$H$5:$H$504,$H460,$K$5:$K$504,"&lt;&gt;Cancelada",$C$5:$C$504,"&lt;"&amp;$E460,$E$5:$E$504,"&gt;"&amp;$C460)&gt;1,"Se solapa con otra actividad en esta sala",""))</f>
        <v/>
      </c>
    </row>
    <row r="461" ht="21" customHeight="1">
      <c r="A461" s="35" t="n"/>
      <c r="B461" s="36" t="n"/>
      <c r="C461" s="37">
        <f>IF($A461="","",IF($B461&lt;&gt;"",$B461,IF($A461=$A460,$E460,Configuración!$C$5)))</f>
        <v/>
      </c>
      <c r="D461" s="38" t="n"/>
      <c r="E461" s="37">
        <f>IF(OR($C461="",$D461=""),"",$C461+$D461/1440)</f>
        <v/>
      </c>
      <c r="F461" s="39" t="n"/>
      <c r="G461" s="40" t="n"/>
      <c r="H461" s="40" t="n"/>
      <c r="I461" s="40" t="n"/>
      <c r="J461" s="40" t="n"/>
      <c r="K461" s="40" t="n"/>
      <c r="L461" s="41" t="n"/>
      <c r="M461" s="42">
        <f>IF(OR($C461="",$E461="",$H461="",$K461="Cancelada"),"",IF(COUNTIFS($A$5:$A$504,$A461,$H$5:$H$504,$H461,$K$5:$K$504,"&lt;&gt;Cancelada",$C$5:$C$504,"&lt;"&amp;$E461,$E$5:$E$504,"&gt;"&amp;$C461)&gt;1,"Se solapa con otra actividad en esta sala",""))</f>
        <v/>
      </c>
    </row>
    <row r="462" ht="21" customHeight="1">
      <c r="A462" s="35" t="n"/>
      <c r="B462" s="36" t="n"/>
      <c r="C462" s="37">
        <f>IF($A462="","",IF($B462&lt;&gt;"",$B462,IF($A462=$A461,$E461,Configuración!$C$5)))</f>
        <v/>
      </c>
      <c r="D462" s="38" t="n"/>
      <c r="E462" s="37">
        <f>IF(OR($C462="",$D462=""),"",$C462+$D462/1440)</f>
        <v/>
      </c>
      <c r="F462" s="39" t="n"/>
      <c r="G462" s="40" t="n"/>
      <c r="H462" s="40" t="n"/>
      <c r="I462" s="40" t="n"/>
      <c r="J462" s="40" t="n"/>
      <c r="K462" s="40" t="n"/>
      <c r="L462" s="41" t="n"/>
      <c r="M462" s="42">
        <f>IF(OR($C462="",$E462="",$H462="",$K462="Cancelada"),"",IF(COUNTIFS($A$5:$A$504,$A462,$H$5:$H$504,$H462,$K$5:$K$504,"&lt;&gt;Cancelada",$C$5:$C$504,"&lt;"&amp;$E462,$E$5:$E$504,"&gt;"&amp;$C462)&gt;1,"Se solapa con otra actividad en esta sala",""))</f>
        <v/>
      </c>
    </row>
    <row r="463" ht="21" customHeight="1">
      <c r="A463" s="35" t="n"/>
      <c r="B463" s="36" t="n"/>
      <c r="C463" s="37">
        <f>IF($A463="","",IF($B463&lt;&gt;"",$B463,IF($A463=$A462,$E462,Configuración!$C$5)))</f>
        <v/>
      </c>
      <c r="D463" s="38" t="n"/>
      <c r="E463" s="37">
        <f>IF(OR($C463="",$D463=""),"",$C463+$D463/1440)</f>
        <v/>
      </c>
      <c r="F463" s="39" t="n"/>
      <c r="G463" s="40" t="n"/>
      <c r="H463" s="40" t="n"/>
      <c r="I463" s="40" t="n"/>
      <c r="J463" s="40" t="n"/>
      <c r="K463" s="40" t="n"/>
      <c r="L463" s="41" t="n"/>
      <c r="M463" s="42">
        <f>IF(OR($C463="",$E463="",$H463="",$K463="Cancelada"),"",IF(COUNTIFS($A$5:$A$504,$A463,$H$5:$H$504,$H463,$K$5:$K$504,"&lt;&gt;Cancelada",$C$5:$C$504,"&lt;"&amp;$E463,$E$5:$E$504,"&gt;"&amp;$C463)&gt;1,"Se solapa con otra actividad en esta sala",""))</f>
        <v/>
      </c>
    </row>
    <row r="464" ht="21" customHeight="1">
      <c r="A464" s="35" t="n"/>
      <c r="B464" s="36" t="n"/>
      <c r="C464" s="37">
        <f>IF($A464="","",IF($B464&lt;&gt;"",$B464,IF($A464=$A463,$E463,Configuración!$C$5)))</f>
        <v/>
      </c>
      <c r="D464" s="38" t="n"/>
      <c r="E464" s="37">
        <f>IF(OR($C464="",$D464=""),"",$C464+$D464/1440)</f>
        <v/>
      </c>
      <c r="F464" s="39" t="n"/>
      <c r="G464" s="40" t="n"/>
      <c r="H464" s="40" t="n"/>
      <c r="I464" s="40" t="n"/>
      <c r="J464" s="40" t="n"/>
      <c r="K464" s="40" t="n"/>
      <c r="L464" s="41" t="n"/>
      <c r="M464" s="42">
        <f>IF(OR($C464="",$E464="",$H464="",$K464="Cancelada"),"",IF(COUNTIFS($A$5:$A$504,$A464,$H$5:$H$504,$H464,$K$5:$K$504,"&lt;&gt;Cancelada",$C$5:$C$504,"&lt;"&amp;$E464,$E$5:$E$504,"&gt;"&amp;$C464)&gt;1,"Se solapa con otra actividad en esta sala",""))</f>
        <v/>
      </c>
    </row>
    <row r="465" ht="21" customHeight="1">
      <c r="A465" s="35" t="n"/>
      <c r="B465" s="36" t="n"/>
      <c r="C465" s="37">
        <f>IF($A465="","",IF($B465&lt;&gt;"",$B465,IF($A465=$A464,$E464,Configuración!$C$5)))</f>
        <v/>
      </c>
      <c r="D465" s="38" t="n"/>
      <c r="E465" s="37">
        <f>IF(OR($C465="",$D465=""),"",$C465+$D465/1440)</f>
        <v/>
      </c>
      <c r="F465" s="39" t="n"/>
      <c r="G465" s="40" t="n"/>
      <c r="H465" s="40" t="n"/>
      <c r="I465" s="40" t="n"/>
      <c r="J465" s="40" t="n"/>
      <c r="K465" s="40" t="n"/>
      <c r="L465" s="41" t="n"/>
      <c r="M465" s="42">
        <f>IF(OR($C465="",$E465="",$H465="",$K465="Cancelada"),"",IF(COUNTIFS($A$5:$A$504,$A465,$H$5:$H$504,$H465,$K$5:$K$504,"&lt;&gt;Cancelada",$C$5:$C$504,"&lt;"&amp;$E465,$E$5:$E$504,"&gt;"&amp;$C465)&gt;1,"Se solapa con otra actividad en esta sala",""))</f>
        <v/>
      </c>
    </row>
    <row r="466" ht="21" customHeight="1">
      <c r="A466" s="35" t="n"/>
      <c r="B466" s="36" t="n"/>
      <c r="C466" s="37">
        <f>IF($A466="","",IF($B466&lt;&gt;"",$B466,IF($A466=$A465,$E465,Configuración!$C$5)))</f>
        <v/>
      </c>
      <c r="D466" s="38" t="n"/>
      <c r="E466" s="37">
        <f>IF(OR($C466="",$D466=""),"",$C466+$D466/1440)</f>
        <v/>
      </c>
      <c r="F466" s="39" t="n"/>
      <c r="G466" s="40" t="n"/>
      <c r="H466" s="40" t="n"/>
      <c r="I466" s="40" t="n"/>
      <c r="J466" s="40" t="n"/>
      <c r="K466" s="40" t="n"/>
      <c r="L466" s="41" t="n"/>
      <c r="M466" s="42">
        <f>IF(OR($C466="",$E466="",$H466="",$K466="Cancelada"),"",IF(COUNTIFS($A$5:$A$504,$A466,$H$5:$H$504,$H466,$K$5:$K$504,"&lt;&gt;Cancelada",$C$5:$C$504,"&lt;"&amp;$E466,$E$5:$E$504,"&gt;"&amp;$C466)&gt;1,"Se solapa con otra actividad en esta sala",""))</f>
        <v/>
      </c>
    </row>
    <row r="467" ht="21" customHeight="1">
      <c r="A467" s="35" t="n"/>
      <c r="B467" s="36" t="n"/>
      <c r="C467" s="37">
        <f>IF($A467="","",IF($B467&lt;&gt;"",$B467,IF($A467=$A466,$E466,Configuración!$C$5)))</f>
        <v/>
      </c>
      <c r="D467" s="38" t="n"/>
      <c r="E467" s="37">
        <f>IF(OR($C467="",$D467=""),"",$C467+$D467/1440)</f>
        <v/>
      </c>
      <c r="F467" s="39" t="n"/>
      <c r="G467" s="40" t="n"/>
      <c r="H467" s="40" t="n"/>
      <c r="I467" s="40" t="n"/>
      <c r="J467" s="40" t="n"/>
      <c r="K467" s="40" t="n"/>
      <c r="L467" s="41" t="n"/>
      <c r="M467" s="42">
        <f>IF(OR($C467="",$E467="",$H467="",$K467="Cancelada"),"",IF(COUNTIFS($A$5:$A$504,$A467,$H$5:$H$504,$H467,$K$5:$K$504,"&lt;&gt;Cancelada",$C$5:$C$504,"&lt;"&amp;$E467,$E$5:$E$504,"&gt;"&amp;$C467)&gt;1,"Se solapa con otra actividad en esta sala",""))</f>
        <v/>
      </c>
    </row>
    <row r="468" ht="21" customHeight="1">
      <c r="A468" s="35" t="n"/>
      <c r="B468" s="36" t="n"/>
      <c r="C468" s="37">
        <f>IF($A468="","",IF($B468&lt;&gt;"",$B468,IF($A468=$A467,$E467,Configuración!$C$5)))</f>
        <v/>
      </c>
      <c r="D468" s="38" t="n"/>
      <c r="E468" s="37">
        <f>IF(OR($C468="",$D468=""),"",$C468+$D468/1440)</f>
        <v/>
      </c>
      <c r="F468" s="39" t="n"/>
      <c r="G468" s="40" t="n"/>
      <c r="H468" s="40" t="n"/>
      <c r="I468" s="40" t="n"/>
      <c r="J468" s="40" t="n"/>
      <c r="K468" s="40" t="n"/>
      <c r="L468" s="41" t="n"/>
      <c r="M468" s="42">
        <f>IF(OR($C468="",$E468="",$H468="",$K468="Cancelada"),"",IF(COUNTIFS($A$5:$A$504,$A468,$H$5:$H$504,$H468,$K$5:$K$504,"&lt;&gt;Cancelada",$C$5:$C$504,"&lt;"&amp;$E468,$E$5:$E$504,"&gt;"&amp;$C468)&gt;1,"Se solapa con otra actividad en esta sala",""))</f>
        <v/>
      </c>
    </row>
    <row r="469" ht="21" customHeight="1">
      <c r="A469" s="35" t="n"/>
      <c r="B469" s="36" t="n"/>
      <c r="C469" s="37">
        <f>IF($A469="","",IF($B469&lt;&gt;"",$B469,IF($A469=$A468,$E468,Configuración!$C$5)))</f>
        <v/>
      </c>
      <c r="D469" s="38" t="n"/>
      <c r="E469" s="37">
        <f>IF(OR($C469="",$D469=""),"",$C469+$D469/1440)</f>
        <v/>
      </c>
      <c r="F469" s="39" t="n"/>
      <c r="G469" s="40" t="n"/>
      <c r="H469" s="40" t="n"/>
      <c r="I469" s="40" t="n"/>
      <c r="J469" s="40" t="n"/>
      <c r="K469" s="40" t="n"/>
      <c r="L469" s="41" t="n"/>
      <c r="M469" s="42">
        <f>IF(OR($C469="",$E469="",$H469="",$K469="Cancelada"),"",IF(COUNTIFS($A$5:$A$504,$A469,$H$5:$H$504,$H469,$K$5:$K$504,"&lt;&gt;Cancelada",$C$5:$C$504,"&lt;"&amp;$E469,$E$5:$E$504,"&gt;"&amp;$C469)&gt;1,"Se solapa con otra actividad en esta sala",""))</f>
        <v/>
      </c>
    </row>
    <row r="470" ht="21" customHeight="1">
      <c r="A470" s="35" t="n"/>
      <c r="B470" s="36" t="n"/>
      <c r="C470" s="37">
        <f>IF($A470="","",IF($B470&lt;&gt;"",$B470,IF($A470=$A469,$E469,Configuración!$C$5)))</f>
        <v/>
      </c>
      <c r="D470" s="38" t="n"/>
      <c r="E470" s="37">
        <f>IF(OR($C470="",$D470=""),"",$C470+$D470/1440)</f>
        <v/>
      </c>
      <c r="F470" s="39" t="n"/>
      <c r="G470" s="40" t="n"/>
      <c r="H470" s="40" t="n"/>
      <c r="I470" s="40" t="n"/>
      <c r="J470" s="40" t="n"/>
      <c r="K470" s="40" t="n"/>
      <c r="L470" s="41" t="n"/>
      <c r="M470" s="42">
        <f>IF(OR($C470="",$E470="",$H470="",$K470="Cancelada"),"",IF(COUNTIFS($A$5:$A$504,$A470,$H$5:$H$504,$H470,$K$5:$K$504,"&lt;&gt;Cancelada",$C$5:$C$504,"&lt;"&amp;$E470,$E$5:$E$504,"&gt;"&amp;$C470)&gt;1,"Se solapa con otra actividad en esta sala",""))</f>
        <v/>
      </c>
    </row>
    <row r="471" ht="21" customHeight="1">
      <c r="A471" s="35" t="n"/>
      <c r="B471" s="36" t="n"/>
      <c r="C471" s="37">
        <f>IF($A471="","",IF($B471&lt;&gt;"",$B471,IF($A471=$A470,$E470,Configuración!$C$5)))</f>
        <v/>
      </c>
      <c r="D471" s="38" t="n"/>
      <c r="E471" s="37">
        <f>IF(OR($C471="",$D471=""),"",$C471+$D471/1440)</f>
        <v/>
      </c>
      <c r="F471" s="39" t="n"/>
      <c r="G471" s="40" t="n"/>
      <c r="H471" s="40" t="n"/>
      <c r="I471" s="40" t="n"/>
      <c r="J471" s="40" t="n"/>
      <c r="K471" s="40" t="n"/>
      <c r="L471" s="41" t="n"/>
      <c r="M471" s="42">
        <f>IF(OR($C471="",$E471="",$H471="",$K471="Cancelada"),"",IF(COUNTIFS($A$5:$A$504,$A471,$H$5:$H$504,$H471,$K$5:$K$504,"&lt;&gt;Cancelada",$C$5:$C$504,"&lt;"&amp;$E471,$E$5:$E$504,"&gt;"&amp;$C471)&gt;1,"Se solapa con otra actividad en esta sala",""))</f>
        <v/>
      </c>
    </row>
    <row r="472" ht="21" customHeight="1">
      <c r="A472" s="35" t="n"/>
      <c r="B472" s="36" t="n"/>
      <c r="C472" s="37">
        <f>IF($A472="","",IF($B472&lt;&gt;"",$B472,IF($A472=$A471,$E471,Configuración!$C$5)))</f>
        <v/>
      </c>
      <c r="D472" s="38" t="n"/>
      <c r="E472" s="37">
        <f>IF(OR($C472="",$D472=""),"",$C472+$D472/1440)</f>
        <v/>
      </c>
      <c r="F472" s="39" t="n"/>
      <c r="G472" s="40" t="n"/>
      <c r="H472" s="40" t="n"/>
      <c r="I472" s="40" t="n"/>
      <c r="J472" s="40" t="n"/>
      <c r="K472" s="40" t="n"/>
      <c r="L472" s="41" t="n"/>
      <c r="M472" s="42">
        <f>IF(OR($C472="",$E472="",$H472="",$K472="Cancelada"),"",IF(COUNTIFS($A$5:$A$504,$A472,$H$5:$H$504,$H472,$K$5:$K$504,"&lt;&gt;Cancelada",$C$5:$C$504,"&lt;"&amp;$E472,$E$5:$E$504,"&gt;"&amp;$C472)&gt;1,"Se solapa con otra actividad en esta sala",""))</f>
        <v/>
      </c>
    </row>
    <row r="473" ht="21" customHeight="1">
      <c r="A473" s="35" t="n"/>
      <c r="B473" s="36" t="n"/>
      <c r="C473" s="37">
        <f>IF($A473="","",IF($B473&lt;&gt;"",$B473,IF($A473=$A472,$E472,Configuración!$C$5)))</f>
        <v/>
      </c>
      <c r="D473" s="38" t="n"/>
      <c r="E473" s="37">
        <f>IF(OR($C473="",$D473=""),"",$C473+$D473/1440)</f>
        <v/>
      </c>
      <c r="F473" s="39" t="n"/>
      <c r="G473" s="40" t="n"/>
      <c r="H473" s="40" t="n"/>
      <c r="I473" s="40" t="n"/>
      <c r="J473" s="40" t="n"/>
      <c r="K473" s="40" t="n"/>
      <c r="L473" s="41" t="n"/>
      <c r="M473" s="42">
        <f>IF(OR($C473="",$E473="",$H473="",$K473="Cancelada"),"",IF(COUNTIFS($A$5:$A$504,$A473,$H$5:$H$504,$H473,$K$5:$K$504,"&lt;&gt;Cancelada",$C$5:$C$504,"&lt;"&amp;$E473,$E$5:$E$504,"&gt;"&amp;$C473)&gt;1,"Se solapa con otra actividad en esta sala",""))</f>
        <v/>
      </c>
    </row>
    <row r="474" ht="21" customHeight="1">
      <c r="A474" s="35" t="n"/>
      <c r="B474" s="36" t="n"/>
      <c r="C474" s="37">
        <f>IF($A474="","",IF($B474&lt;&gt;"",$B474,IF($A474=$A473,$E473,Configuración!$C$5)))</f>
        <v/>
      </c>
      <c r="D474" s="38" t="n"/>
      <c r="E474" s="37">
        <f>IF(OR($C474="",$D474=""),"",$C474+$D474/1440)</f>
        <v/>
      </c>
      <c r="F474" s="39" t="n"/>
      <c r="G474" s="40" t="n"/>
      <c r="H474" s="40" t="n"/>
      <c r="I474" s="40" t="n"/>
      <c r="J474" s="40" t="n"/>
      <c r="K474" s="40" t="n"/>
      <c r="L474" s="41" t="n"/>
      <c r="M474" s="42">
        <f>IF(OR($C474="",$E474="",$H474="",$K474="Cancelada"),"",IF(COUNTIFS($A$5:$A$504,$A474,$H$5:$H$504,$H474,$K$5:$K$504,"&lt;&gt;Cancelada",$C$5:$C$504,"&lt;"&amp;$E474,$E$5:$E$504,"&gt;"&amp;$C474)&gt;1,"Se solapa con otra actividad en esta sala",""))</f>
        <v/>
      </c>
    </row>
    <row r="475" ht="21" customHeight="1">
      <c r="A475" s="35" t="n"/>
      <c r="B475" s="36" t="n"/>
      <c r="C475" s="37">
        <f>IF($A475="","",IF($B475&lt;&gt;"",$B475,IF($A475=$A474,$E474,Configuración!$C$5)))</f>
        <v/>
      </c>
      <c r="D475" s="38" t="n"/>
      <c r="E475" s="37">
        <f>IF(OR($C475="",$D475=""),"",$C475+$D475/1440)</f>
        <v/>
      </c>
      <c r="F475" s="39" t="n"/>
      <c r="G475" s="40" t="n"/>
      <c r="H475" s="40" t="n"/>
      <c r="I475" s="40" t="n"/>
      <c r="J475" s="40" t="n"/>
      <c r="K475" s="40" t="n"/>
      <c r="L475" s="41" t="n"/>
      <c r="M475" s="42">
        <f>IF(OR($C475="",$E475="",$H475="",$K475="Cancelada"),"",IF(COUNTIFS($A$5:$A$504,$A475,$H$5:$H$504,$H475,$K$5:$K$504,"&lt;&gt;Cancelada",$C$5:$C$504,"&lt;"&amp;$E475,$E$5:$E$504,"&gt;"&amp;$C475)&gt;1,"Se solapa con otra actividad en esta sala",""))</f>
        <v/>
      </c>
    </row>
    <row r="476" ht="21" customHeight="1">
      <c r="A476" s="35" t="n"/>
      <c r="B476" s="36" t="n"/>
      <c r="C476" s="37">
        <f>IF($A476="","",IF($B476&lt;&gt;"",$B476,IF($A476=$A475,$E475,Configuración!$C$5)))</f>
        <v/>
      </c>
      <c r="D476" s="38" t="n"/>
      <c r="E476" s="37">
        <f>IF(OR($C476="",$D476=""),"",$C476+$D476/1440)</f>
        <v/>
      </c>
      <c r="F476" s="39" t="n"/>
      <c r="G476" s="40" t="n"/>
      <c r="H476" s="40" t="n"/>
      <c r="I476" s="40" t="n"/>
      <c r="J476" s="40" t="n"/>
      <c r="K476" s="40" t="n"/>
      <c r="L476" s="41" t="n"/>
      <c r="M476" s="42">
        <f>IF(OR($C476="",$E476="",$H476="",$K476="Cancelada"),"",IF(COUNTIFS($A$5:$A$504,$A476,$H$5:$H$504,$H476,$K$5:$K$504,"&lt;&gt;Cancelada",$C$5:$C$504,"&lt;"&amp;$E476,$E$5:$E$504,"&gt;"&amp;$C476)&gt;1,"Se solapa con otra actividad en esta sala",""))</f>
        <v/>
      </c>
    </row>
    <row r="477" ht="21" customHeight="1">
      <c r="A477" s="35" t="n"/>
      <c r="B477" s="36" t="n"/>
      <c r="C477" s="37">
        <f>IF($A477="","",IF($B477&lt;&gt;"",$B477,IF($A477=$A476,$E476,Configuración!$C$5)))</f>
        <v/>
      </c>
      <c r="D477" s="38" t="n"/>
      <c r="E477" s="37">
        <f>IF(OR($C477="",$D477=""),"",$C477+$D477/1440)</f>
        <v/>
      </c>
      <c r="F477" s="39" t="n"/>
      <c r="G477" s="40" t="n"/>
      <c r="H477" s="40" t="n"/>
      <c r="I477" s="40" t="n"/>
      <c r="J477" s="40" t="n"/>
      <c r="K477" s="40" t="n"/>
      <c r="L477" s="41" t="n"/>
      <c r="M477" s="42">
        <f>IF(OR($C477="",$E477="",$H477="",$K477="Cancelada"),"",IF(COUNTIFS($A$5:$A$504,$A477,$H$5:$H$504,$H477,$K$5:$K$504,"&lt;&gt;Cancelada",$C$5:$C$504,"&lt;"&amp;$E477,$E$5:$E$504,"&gt;"&amp;$C477)&gt;1,"Se solapa con otra actividad en esta sala",""))</f>
        <v/>
      </c>
    </row>
    <row r="478" ht="21" customHeight="1">
      <c r="A478" s="35" t="n"/>
      <c r="B478" s="36" t="n"/>
      <c r="C478" s="37">
        <f>IF($A478="","",IF($B478&lt;&gt;"",$B478,IF($A478=$A477,$E477,Configuración!$C$5)))</f>
        <v/>
      </c>
      <c r="D478" s="38" t="n"/>
      <c r="E478" s="37">
        <f>IF(OR($C478="",$D478=""),"",$C478+$D478/1440)</f>
        <v/>
      </c>
      <c r="F478" s="39" t="n"/>
      <c r="G478" s="40" t="n"/>
      <c r="H478" s="40" t="n"/>
      <c r="I478" s="40" t="n"/>
      <c r="J478" s="40" t="n"/>
      <c r="K478" s="40" t="n"/>
      <c r="L478" s="41" t="n"/>
      <c r="M478" s="42">
        <f>IF(OR($C478="",$E478="",$H478="",$K478="Cancelada"),"",IF(COUNTIFS($A$5:$A$504,$A478,$H$5:$H$504,$H478,$K$5:$K$504,"&lt;&gt;Cancelada",$C$5:$C$504,"&lt;"&amp;$E478,$E$5:$E$504,"&gt;"&amp;$C478)&gt;1,"Se solapa con otra actividad en esta sala",""))</f>
        <v/>
      </c>
    </row>
    <row r="479" ht="21" customHeight="1">
      <c r="A479" s="35" t="n"/>
      <c r="B479" s="36" t="n"/>
      <c r="C479" s="37">
        <f>IF($A479="","",IF($B479&lt;&gt;"",$B479,IF($A479=$A478,$E478,Configuración!$C$5)))</f>
        <v/>
      </c>
      <c r="D479" s="38" t="n"/>
      <c r="E479" s="37">
        <f>IF(OR($C479="",$D479=""),"",$C479+$D479/1440)</f>
        <v/>
      </c>
      <c r="F479" s="39" t="n"/>
      <c r="G479" s="40" t="n"/>
      <c r="H479" s="40" t="n"/>
      <c r="I479" s="40" t="n"/>
      <c r="J479" s="40" t="n"/>
      <c r="K479" s="40" t="n"/>
      <c r="L479" s="41" t="n"/>
      <c r="M479" s="42">
        <f>IF(OR($C479="",$E479="",$H479="",$K479="Cancelada"),"",IF(COUNTIFS($A$5:$A$504,$A479,$H$5:$H$504,$H479,$K$5:$K$504,"&lt;&gt;Cancelada",$C$5:$C$504,"&lt;"&amp;$E479,$E$5:$E$504,"&gt;"&amp;$C479)&gt;1,"Se solapa con otra actividad en esta sala",""))</f>
        <v/>
      </c>
    </row>
    <row r="480" ht="21" customHeight="1">
      <c r="A480" s="35" t="n"/>
      <c r="B480" s="36" t="n"/>
      <c r="C480" s="37">
        <f>IF($A480="","",IF($B480&lt;&gt;"",$B480,IF($A480=$A479,$E479,Configuración!$C$5)))</f>
        <v/>
      </c>
      <c r="D480" s="38" t="n"/>
      <c r="E480" s="37">
        <f>IF(OR($C480="",$D480=""),"",$C480+$D480/1440)</f>
        <v/>
      </c>
      <c r="F480" s="39" t="n"/>
      <c r="G480" s="40" t="n"/>
      <c r="H480" s="40" t="n"/>
      <c r="I480" s="40" t="n"/>
      <c r="J480" s="40" t="n"/>
      <c r="K480" s="40" t="n"/>
      <c r="L480" s="41" t="n"/>
      <c r="M480" s="42">
        <f>IF(OR($C480="",$E480="",$H480="",$K480="Cancelada"),"",IF(COUNTIFS($A$5:$A$504,$A480,$H$5:$H$504,$H480,$K$5:$K$504,"&lt;&gt;Cancelada",$C$5:$C$504,"&lt;"&amp;$E480,$E$5:$E$504,"&gt;"&amp;$C480)&gt;1,"Se solapa con otra actividad en esta sala",""))</f>
        <v/>
      </c>
    </row>
    <row r="481" ht="21" customHeight="1">
      <c r="A481" s="35" t="n"/>
      <c r="B481" s="36" t="n"/>
      <c r="C481" s="37">
        <f>IF($A481="","",IF($B481&lt;&gt;"",$B481,IF($A481=$A480,$E480,Configuración!$C$5)))</f>
        <v/>
      </c>
      <c r="D481" s="38" t="n"/>
      <c r="E481" s="37">
        <f>IF(OR($C481="",$D481=""),"",$C481+$D481/1440)</f>
        <v/>
      </c>
      <c r="F481" s="39" t="n"/>
      <c r="G481" s="40" t="n"/>
      <c r="H481" s="40" t="n"/>
      <c r="I481" s="40" t="n"/>
      <c r="J481" s="40" t="n"/>
      <c r="K481" s="40" t="n"/>
      <c r="L481" s="41" t="n"/>
      <c r="M481" s="42">
        <f>IF(OR($C481="",$E481="",$H481="",$K481="Cancelada"),"",IF(COUNTIFS($A$5:$A$504,$A481,$H$5:$H$504,$H481,$K$5:$K$504,"&lt;&gt;Cancelada",$C$5:$C$504,"&lt;"&amp;$E481,$E$5:$E$504,"&gt;"&amp;$C481)&gt;1,"Se solapa con otra actividad en esta sala",""))</f>
        <v/>
      </c>
    </row>
    <row r="482" ht="21" customHeight="1">
      <c r="A482" s="35" t="n"/>
      <c r="B482" s="36" t="n"/>
      <c r="C482" s="37">
        <f>IF($A482="","",IF($B482&lt;&gt;"",$B482,IF($A482=$A481,$E481,Configuración!$C$5)))</f>
        <v/>
      </c>
      <c r="D482" s="38" t="n"/>
      <c r="E482" s="37">
        <f>IF(OR($C482="",$D482=""),"",$C482+$D482/1440)</f>
        <v/>
      </c>
      <c r="F482" s="39" t="n"/>
      <c r="G482" s="40" t="n"/>
      <c r="H482" s="40" t="n"/>
      <c r="I482" s="40" t="n"/>
      <c r="J482" s="40" t="n"/>
      <c r="K482" s="40" t="n"/>
      <c r="L482" s="41" t="n"/>
      <c r="M482" s="42">
        <f>IF(OR($C482="",$E482="",$H482="",$K482="Cancelada"),"",IF(COUNTIFS($A$5:$A$504,$A482,$H$5:$H$504,$H482,$K$5:$K$504,"&lt;&gt;Cancelada",$C$5:$C$504,"&lt;"&amp;$E482,$E$5:$E$504,"&gt;"&amp;$C482)&gt;1,"Se solapa con otra actividad en esta sala",""))</f>
        <v/>
      </c>
    </row>
    <row r="483" ht="21" customHeight="1">
      <c r="A483" s="35" t="n"/>
      <c r="B483" s="36" t="n"/>
      <c r="C483" s="37">
        <f>IF($A483="","",IF($B483&lt;&gt;"",$B483,IF($A483=$A482,$E482,Configuración!$C$5)))</f>
        <v/>
      </c>
      <c r="D483" s="38" t="n"/>
      <c r="E483" s="37">
        <f>IF(OR($C483="",$D483=""),"",$C483+$D483/1440)</f>
        <v/>
      </c>
      <c r="F483" s="39" t="n"/>
      <c r="G483" s="40" t="n"/>
      <c r="H483" s="40" t="n"/>
      <c r="I483" s="40" t="n"/>
      <c r="J483" s="40" t="n"/>
      <c r="K483" s="40" t="n"/>
      <c r="L483" s="41" t="n"/>
      <c r="M483" s="42">
        <f>IF(OR($C483="",$E483="",$H483="",$K483="Cancelada"),"",IF(COUNTIFS($A$5:$A$504,$A483,$H$5:$H$504,$H483,$K$5:$K$504,"&lt;&gt;Cancelada",$C$5:$C$504,"&lt;"&amp;$E483,$E$5:$E$504,"&gt;"&amp;$C483)&gt;1,"Se solapa con otra actividad en esta sala",""))</f>
        <v/>
      </c>
    </row>
    <row r="484" ht="21" customHeight="1">
      <c r="A484" s="35" t="n"/>
      <c r="B484" s="36" t="n"/>
      <c r="C484" s="37">
        <f>IF($A484="","",IF($B484&lt;&gt;"",$B484,IF($A484=$A483,$E483,Configuración!$C$5)))</f>
        <v/>
      </c>
      <c r="D484" s="38" t="n"/>
      <c r="E484" s="37">
        <f>IF(OR($C484="",$D484=""),"",$C484+$D484/1440)</f>
        <v/>
      </c>
      <c r="F484" s="39" t="n"/>
      <c r="G484" s="40" t="n"/>
      <c r="H484" s="40" t="n"/>
      <c r="I484" s="40" t="n"/>
      <c r="J484" s="40" t="n"/>
      <c r="K484" s="40" t="n"/>
      <c r="L484" s="41" t="n"/>
      <c r="M484" s="42">
        <f>IF(OR($C484="",$E484="",$H484="",$K484="Cancelada"),"",IF(COUNTIFS($A$5:$A$504,$A484,$H$5:$H$504,$H484,$K$5:$K$504,"&lt;&gt;Cancelada",$C$5:$C$504,"&lt;"&amp;$E484,$E$5:$E$504,"&gt;"&amp;$C484)&gt;1,"Se solapa con otra actividad en esta sala",""))</f>
        <v/>
      </c>
    </row>
    <row r="485" ht="21" customHeight="1">
      <c r="A485" s="35" t="n"/>
      <c r="B485" s="36" t="n"/>
      <c r="C485" s="37">
        <f>IF($A485="","",IF($B485&lt;&gt;"",$B485,IF($A485=$A484,$E484,Configuración!$C$5)))</f>
        <v/>
      </c>
      <c r="D485" s="38" t="n"/>
      <c r="E485" s="37">
        <f>IF(OR($C485="",$D485=""),"",$C485+$D485/1440)</f>
        <v/>
      </c>
      <c r="F485" s="39" t="n"/>
      <c r="G485" s="40" t="n"/>
      <c r="H485" s="40" t="n"/>
      <c r="I485" s="40" t="n"/>
      <c r="J485" s="40" t="n"/>
      <c r="K485" s="40" t="n"/>
      <c r="L485" s="41" t="n"/>
      <c r="M485" s="42">
        <f>IF(OR($C485="",$E485="",$H485="",$K485="Cancelada"),"",IF(COUNTIFS($A$5:$A$504,$A485,$H$5:$H$504,$H485,$K$5:$K$504,"&lt;&gt;Cancelada",$C$5:$C$504,"&lt;"&amp;$E485,$E$5:$E$504,"&gt;"&amp;$C485)&gt;1,"Se solapa con otra actividad en esta sala",""))</f>
        <v/>
      </c>
    </row>
    <row r="486" ht="21" customHeight="1">
      <c r="A486" s="35" t="n"/>
      <c r="B486" s="36" t="n"/>
      <c r="C486" s="37">
        <f>IF($A486="","",IF($B486&lt;&gt;"",$B486,IF($A486=$A485,$E485,Configuración!$C$5)))</f>
        <v/>
      </c>
      <c r="D486" s="38" t="n"/>
      <c r="E486" s="37">
        <f>IF(OR($C486="",$D486=""),"",$C486+$D486/1440)</f>
        <v/>
      </c>
      <c r="F486" s="39" t="n"/>
      <c r="G486" s="40" t="n"/>
      <c r="H486" s="40" t="n"/>
      <c r="I486" s="40" t="n"/>
      <c r="J486" s="40" t="n"/>
      <c r="K486" s="40" t="n"/>
      <c r="L486" s="41" t="n"/>
      <c r="M486" s="42">
        <f>IF(OR($C486="",$E486="",$H486="",$K486="Cancelada"),"",IF(COUNTIFS($A$5:$A$504,$A486,$H$5:$H$504,$H486,$K$5:$K$504,"&lt;&gt;Cancelada",$C$5:$C$504,"&lt;"&amp;$E486,$E$5:$E$504,"&gt;"&amp;$C486)&gt;1,"Se solapa con otra actividad en esta sala",""))</f>
        <v/>
      </c>
    </row>
    <row r="487" ht="21" customHeight="1">
      <c r="A487" s="35" t="n"/>
      <c r="B487" s="36" t="n"/>
      <c r="C487" s="37">
        <f>IF($A487="","",IF($B487&lt;&gt;"",$B487,IF($A487=$A486,$E486,Configuración!$C$5)))</f>
        <v/>
      </c>
      <c r="D487" s="38" t="n"/>
      <c r="E487" s="37">
        <f>IF(OR($C487="",$D487=""),"",$C487+$D487/1440)</f>
        <v/>
      </c>
      <c r="F487" s="39" t="n"/>
      <c r="G487" s="40" t="n"/>
      <c r="H487" s="40" t="n"/>
      <c r="I487" s="40" t="n"/>
      <c r="J487" s="40" t="n"/>
      <c r="K487" s="40" t="n"/>
      <c r="L487" s="41" t="n"/>
      <c r="M487" s="42">
        <f>IF(OR($C487="",$E487="",$H487="",$K487="Cancelada"),"",IF(COUNTIFS($A$5:$A$504,$A487,$H$5:$H$504,$H487,$K$5:$K$504,"&lt;&gt;Cancelada",$C$5:$C$504,"&lt;"&amp;$E487,$E$5:$E$504,"&gt;"&amp;$C487)&gt;1,"Se solapa con otra actividad en esta sala",""))</f>
        <v/>
      </c>
    </row>
    <row r="488" ht="21" customHeight="1">
      <c r="A488" s="35" t="n"/>
      <c r="B488" s="36" t="n"/>
      <c r="C488" s="37">
        <f>IF($A488="","",IF($B488&lt;&gt;"",$B488,IF($A488=$A487,$E487,Configuración!$C$5)))</f>
        <v/>
      </c>
      <c r="D488" s="38" t="n"/>
      <c r="E488" s="37">
        <f>IF(OR($C488="",$D488=""),"",$C488+$D488/1440)</f>
        <v/>
      </c>
      <c r="F488" s="39" t="n"/>
      <c r="G488" s="40" t="n"/>
      <c r="H488" s="40" t="n"/>
      <c r="I488" s="40" t="n"/>
      <c r="J488" s="40" t="n"/>
      <c r="K488" s="40" t="n"/>
      <c r="L488" s="41" t="n"/>
      <c r="M488" s="42">
        <f>IF(OR($C488="",$E488="",$H488="",$K488="Cancelada"),"",IF(COUNTIFS($A$5:$A$504,$A488,$H$5:$H$504,$H488,$K$5:$K$504,"&lt;&gt;Cancelada",$C$5:$C$504,"&lt;"&amp;$E488,$E$5:$E$504,"&gt;"&amp;$C488)&gt;1,"Se solapa con otra actividad en esta sala",""))</f>
        <v/>
      </c>
    </row>
    <row r="489" ht="21" customHeight="1">
      <c r="A489" s="35" t="n"/>
      <c r="B489" s="36" t="n"/>
      <c r="C489" s="37">
        <f>IF($A489="","",IF($B489&lt;&gt;"",$B489,IF($A489=$A488,$E488,Configuración!$C$5)))</f>
        <v/>
      </c>
      <c r="D489" s="38" t="n"/>
      <c r="E489" s="37">
        <f>IF(OR($C489="",$D489=""),"",$C489+$D489/1440)</f>
        <v/>
      </c>
      <c r="F489" s="39" t="n"/>
      <c r="G489" s="40" t="n"/>
      <c r="H489" s="40" t="n"/>
      <c r="I489" s="40" t="n"/>
      <c r="J489" s="40" t="n"/>
      <c r="K489" s="40" t="n"/>
      <c r="L489" s="41" t="n"/>
      <c r="M489" s="42">
        <f>IF(OR($C489="",$E489="",$H489="",$K489="Cancelada"),"",IF(COUNTIFS($A$5:$A$504,$A489,$H$5:$H$504,$H489,$K$5:$K$504,"&lt;&gt;Cancelada",$C$5:$C$504,"&lt;"&amp;$E489,$E$5:$E$504,"&gt;"&amp;$C489)&gt;1,"Se solapa con otra actividad en esta sala",""))</f>
        <v/>
      </c>
    </row>
    <row r="490" ht="21" customHeight="1">
      <c r="A490" s="35" t="n"/>
      <c r="B490" s="36" t="n"/>
      <c r="C490" s="37">
        <f>IF($A490="","",IF($B490&lt;&gt;"",$B490,IF($A490=$A489,$E489,Configuración!$C$5)))</f>
        <v/>
      </c>
      <c r="D490" s="38" t="n"/>
      <c r="E490" s="37">
        <f>IF(OR($C490="",$D490=""),"",$C490+$D490/1440)</f>
        <v/>
      </c>
      <c r="F490" s="39" t="n"/>
      <c r="G490" s="40" t="n"/>
      <c r="H490" s="40" t="n"/>
      <c r="I490" s="40" t="n"/>
      <c r="J490" s="40" t="n"/>
      <c r="K490" s="40" t="n"/>
      <c r="L490" s="41" t="n"/>
      <c r="M490" s="42">
        <f>IF(OR($C490="",$E490="",$H490="",$K490="Cancelada"),"",IF(COUNTIFS($A$5:$A$504,$A490,$H$5:$H$504,$H490,$K$5:$K$504,"&lt;&gt;Cancelada",$C$5:$C$504,"&lt;"&amp;$E490,$E$5:$E$504,"&gt;"&amp;$C490)&gt;1,"Se solapa con otra actividad en esta sala",""))</f>
        <v/>
      </c>
    </row>
    <row r="491" ht="21" customHeight="1">
      <c r="A491" s="35" t="n"/>
      <c r="B491" s="36" t="n"/>
      <c r="C491" s="37">
        <f>IF($A491="","",IF($B491&lt;&gt;"",$B491,IF($A491=$A490,$E490,Configuración!$C$5)))</f>
        <v/>
      </c>
      <c r="D491" s="38" t="n"/>
      <c r="E491" s="37">
        <f>IF(OR($C491="",$D491=""),"",$C491+$D491/1440)</f>
        <v/>
      </c>
      <c r="F491" s="39" t="n"/>
      <c r="G491" s="40" t="n"/>
      <c r="H491" s="40" t="n"/>
      <c r="I491" s="40" t="n"/>
      <c r="J491" s="40" t="n"/>
      <c r="K491" s="40" t="n"/>
      <c r="L491" s="41" t="n"/>
      <c r="M491" s="42">
        <f>IF(OR($C491="",$E491="",$H491="",$K491="Cancelada"),"",IF(COUNTIFS($A$5:$A$504,$A491,$H$5:$H$504,$H491,$K$5:$K$504,"&lt;&gt;Cancelada",$C$5:$C$504,"&lt;"&amp;$E491,$E$5:$E$504,"&gt;"&amp;$C491)&gt;1,"Se solapa con otra actividad en esta sala",""))</f>
        <v/>
      </c>
    </row>
    <row r="492" ht="21" customHeight="1">
      <c r="A492" s="35" t="n"/>
      <c r="B492" s="36" t="n"/>
      <c r="C492" s="37">
        <f>IF($A492="","",IF($B492&lt;&gt;"",$B492,IF($A492=$A491,$E491,Configuración!$C$5)))</f>
        <v/>
      </c>
      <c r="D492" s="38" t="n"/>
      <c r="E492" s="37">
        <f>IF(OR($C492="",$D492=""),"",$C492+$D492/1440)</f>
        <v/>
      </c>
      <c r="F492" s="39" t="n"/>
      <c r="G492" s="40" t="n"/>
      <c r="H492" s="40" t="n"/>
      <c r="I492" s="40" t="n"/>
      <c r="J492" s="40" t="n"/>
      <c r="K492" s="40" t="n"/>
      <c r="L492" s="41" t="n"/>
      <c r="M492" s="42">
        <f>IF(OR($C492="",$E492="",$H492="",$K492="Cancelada"),"",IF(COUNTIFS($A$5:$A$504,$A492,$H$5:$H$504,$H492,$K$5:$K$504,"&lt;&gt;Cancelada",$C$5:$C$504,"&lt;"&amp;$E492,$E$5:$E$504,"&gt;"&amp;$C492)&gt;1,"Se solapa con otra actividad en esta sala",""))</f>
        <v/>
      </c>
    </row>
    <row r="493" ht="21" customHeight="1">
      <c r="A493" s="35" t="n"/>
      <c r="B493" s="36" t="n"/>
      <c r="C493" s="37">
        <f>IF($A493="","",IF($B493&lt;&gt;"",$B493,IF($A493=$A492,$E492,Configuración!$C$5)))</f>
        <v/>
      </c>
      <c r="D493" s="38" t="n"/>
      <c r="E493" s="37">
        <f>IF(OR($C493="",$D493=""),"",$C493+$D493/1440)</f>
        <v/>
      </c>
      <c r="F493" s="39" t="n"/>
      <c r="G493" s="40" t="n"/>
      <c r="H493" s="40" t="n"/>
      <c r="I493" s="40" t="n"/>
      <c r="J493" s="40" t="n"/>
      <c r="K493" s="40" t="n"/>
      <c r="L493" s="41" t="n"/>
      <c r="M493" s="42">
        <f>IF(OR($C493="",$E493="",$H493="",$K493="Cancelada"),"",IF(COUNTIFS($A$5:$A$504,$A493,$H$5:$H$504,$H493,$K$5:$K$504,"&lt;&gt;Cancelada",$C$5:$C$504,"&lt;"&amp;$E493,$E$5:$E$504,"&gt;"&amp;$C493)&gt;1,"Se solapa con otra actividad en esta sala",""))</f>
        <v/>
      </c>
    </row>
    <row r="494" ht="21" customHeight="1">
      <c r="A494" s="35" t="n"/>
      <c r="B494" s="36" t="n"/>
      <c r="C494" s="37">
        <f>IF($A494="","",IF($B494&lt;&gt;"",$B494,IF($A494=$A493,$E493,Configuración!$C$5)))</f>
        <v/>
      </c>
      <c r="D494" s="38" t="n"/>
      <c r="E494" s="37">
        <f>IF(OR($C494="",$D494=""),"",$C494+$D494/1440)</f>
        <v/>
      </c>
      <c r="F494" s="39" t="n"/>
      <c r="G494" s="40" t="n"/>
      <c r="H494" s="40" t="n"/>
      <c r="I494" s="40" t="n"/>
      <c r="J494" s="40" t="n"/>
      <c r="K494" s="40" t="n"/>
      <c r="L494" s="41" t="n"/>
      <c r="M494" s="42">
        <f>IF(OR($C494="",$E494="",$H494="",$K494="Cancelada"),"",IF(COUNTIFS($A$5:$A$504,$A494,$H$5:$H$504,$H494,$K$5:$K$504,"&lt;&gt;Cancelada",$C$5:$C$504,"&lt;"&amp;$E494,$E$5:$E$504,"&gt;"&amp;$C494)&gt;1,"Se solapa con otra actividad en esta sala",""))</f>
        <v/>
      </c>
    </row>
    <row r="495" ht="21" customHeight="1">
      <c r="A495" s="35" t="n"/>
      <c r="B495" s="36" t="n"/>
      <c r="C495" s="37">
        <f>IF($A495="","",IF($B495&lt;&gt;"",$B495,IF($A495=$A494,$E494,Configuración!$C$5)))</f>
        <v/>
      </c>
      <c r="D495" s="38" t="n"/>
      <c r="E495" s="37">
        <f>IF(OR($C495="",$D495=""),"",$C495+$D495/1440)</f>
        <v/>
      </c>
      <c r="F495" s="39" t="n"/>
      <c r="G495" s="40" t="n"/>
      <c r="H495" s="40" t="n"/>
      <c r="I495" s="40" t="n"/>
      <c r="J495" s="40" t="n"/>
      <c r="K495" s="40" t="n"/>
      <c r="L495" s="41" t="n"/>
      <c r="M495" s="42">
        <f>IF(OR($C495="",$E495="",$H495="",$K495="Cancelada"),"",IF(COUNTIFS($A$5:$A$504,$A495,$H$5:$H$504,$H495,$K$5:$K$504,"&lt;&gt;Cancelada",$C$5:$C$504,"&lt;"&amp;$E495,$E$5:$E$504,"&gt;"&amp;$C495)&gt;1,"Se solapa con otra actividad en esta sala",""))</f>
        <v/>
      </c>
    </row>
    <row r="496" ht="21" customHeight="1">
      <c r="A496" s="35" t="n"/>
      <c r="B496" s="36" t="n"/>
      <c r="C496" s="37">
        <f>IF($A496="","",IF($B496&lt;&gt;"",$B496,IF($A496=$A495,$E495,Configuración!$C$5)))</f>
        <v/>
      </c>
      <c r="D496" s="38" t="n"/>
      <c r="E496" s="37">
        <f>IF(OR($C496="",$D496=""),"",$C496+$D496/1440)</f>
        <v/>
      </c>
      <c r="F496" s="39" t="n"/>
      <c r="G496" s="40" t="n"/>
      <c r="H496" s="40" t="n"/>
      <c r="I496" s="40" t="n"/>
      <c r="J496" s="40" t="n"/>
      <c r="K496" s="40" t="n"/>
      <c r="L496" s="41" t="n"/>
      <c r="M496" s="42">
        <f>IF(OR($C496="",$E496="",$H496="",$K496="Cancelada"),"",IF(COUNTIFS($A$5:$A$504,$A496,$H$5:$H$504,$H496,$K$5:$K$504,"&lt;&gt;Cancelada",$C$5:$C$504,"&lt;"&amp;$E496,$E$5:$E$504,"&gt;"&amp;$C496)&gt;1,"Se solapa con otra actividad en esta sala",""))</f>
        <v/>
      </c>
    </row>
    <row r="497" ht="21" customHeight="1">
      <c r="A497" s="35" t="n"/>
      <c r="B497" s="36" t="n"/>
      <c r="C497" s="37">
        <f>IF($A497="","",IF($B497&lt;&gt;"",$B497,IF($A497=$A496,$E496,Configuración!$C$5)))</f>
        <v/>
      </c>
      <c r="D497" s="38" t="n"/>
      <c r="E497" s="37">
        <f>IF(OR($C497="",$D497=""),"",$C497+$D497/1440)</f>
        <v/>
      </c>
      <c r="F497" s="39" t="n"/>
      <c r="G497" s="40" t="n"/>
      <c r="H497" s="40" t="n"/>
      <c r="I497" s="40" t="n"/>
      <c r="J497" s="40" t="n"/>
      <c r="K497" s="40" t="n"/>
      <c r="L497" s="41" t="n"/>
      <c r="M497" s="42">
        <f>IF(OR($C497="",$E497="",$H497="",$K497="Cancelada"),"",IF(COUNTIFS($A$5:$A$504,$A497,$H$5:$H$504,$H497,$K$5:$K$504,"&lt;&gt;Cancelada",$C$5:$C$504,"&lt;"&amp;$E497,$E$5:$E$504,"&gt;"&amp;$C497)&gt;1,"Se solapa con otra actividad en esta sala",""))</f>
        <v/>
      </c>
    </row>
    <row r="498" ht="21" customHeight="1">
      <c r="A498" s="35" t="n"/>
      <c r="B498" s="36" t="n"/>
      <c r="C498" s="37">
        <f>IF($A498="","",IF($B498&lt;&gt;"",$B498,IF($A498=$A497,$E497,Configuración!$C$5)))</f>
        <v/>
      </c>
      <c r="D498" s="38" t="n"/>
      <c r="E498" s="37">
        <f>IF(OR($C498="",$D498=""),"",$C498+$D498/1440)</f>
        <v/>
      </c>
      <c r="F498" s="39" t="n"/>
      <c r="G498" s="40" t="n"/>
      <c r="H498" s="40" t="n"/>
      <c r="I498" s="40" t="n"/>
      <c r="J498" s="40" t="n"/>
      <c r="K498" s="40" t="n"/>
      <c r="L498" s="41" t="n"/>
      <c r="M498" s="42">
        <f>IF(OR($C498="",$E498="",$H498="",$K498="Cancelada"),"",IF(COUNTIFS($A$5:$A$504,$A498,$H$5:$H$504,$H498,$K$5:$K$504,"&lt;&gt;Cancelada",$C$5:$C$504,"&lt;"&amp;$E498,$E$5:$E$504,"&gt;"&amp;$C498)&gt;1,"Se solapa con otra actividad en esta sala",""))</f>
        <v/>
      </c>
    </row>
    <row r="499" ht="21" customHeight="1">
      <c r="A499" s="35" t="n"/>
      <c r="B499" s="36" t="n"/>
      <c r="C499" s="37">
        <f>IF($A499="","",IF($B499&lt;&gt;"",$B499,IF($A499=$A498,$E498,Configuración!$C$5)))</f>
        <v/>
      </c>
      <c r="D499" s="38" t="n"/>
      <c r="E499" s="37">
        <f>IF(OR($C499="",$D499=""),"",$C499+$D499/1440)</f>
        <v/>
      </c>
      <c r="F499" s="39" t="n"/>
      <c r="G499" s="40" t="n"/>
      <c r="H499" s="40" t="n"/>
      <c r="I499" s="40" t="n"/>
      <c r="J499" s="40" t="n"/>
      <c r="K499" s="40" t="n"/>
      <c r="L499" s="41" t="n"/>
      <c r="M499" s="42">
        <f>IF(OR($C499="",$E499="",$H499="",$K499="Cancelada"),"",IF(COUNTIFS($A$5:$A$504,$A499,$H$5:$H$504,$H499,$K$5:$K$504,"&lt;&gt;Cancelada",$C$5:$C$504,"&lt;"&amp;$E499,$E$5:$E$504,"&gt;"&amp;$C499)&gt;1,"Se solapa con otra actividad en esta sala",""))</f>
        <v/>
      </c>
    </row>
    <row r="500" ht="21" customHeight="1">
      <c r="A500" s="35" t="n"/>
      <c r="B500" s="36" t="n"/>
      <c r="C500" s="37">
        <f>IF($A500="","",IF($B500&lt;&gt;"",$B500,IF($A500=$A499,$E499,Configuración!$C$5)))</f>
        <v/>
      </c>
      <c r="D500" s="38" t="n"/>
      <c r="E500" s="37">
        <f>IF(OR($C500="",$D500=""),"",$C500+$D500/1440)</f>
        <v/>
      </c>
      <c r="F500" s="39" t="n"/>
      <c r="G500" s="40" t="n"/>
      <c r="H500" s="40" t="n"/>
      <c r="I500" s="40" t="n"/>
      <c r="J500" s="40" t="n"/>
      <c r="K500" s="40" t="n"/>
      <c r="L500" s="41" t="n"/>
      <c r="M500" s="42">
        <f>IF(OR($C500="",$E500="",$H500="",$K500="Cancelada"),"",IF(COUNTIFS($A$5:$A$504,$A500,$H$5:$H$504,$H500,$K$5:$K$504,"&lt;&gt;Cancelada",$C$5:$C$504,"&lt;"&amp;$E500,$E$5:$E$504,"&gt;"&amp;$C500)&gt;1,"Se solapa con otra actividad en esta sala",""))</f>
        <v/>
      </c>
    </row>
    <row r="501" ht="21" customHeight="1">
      <c r="A501" s="35" t="n"/>
      <c r="B501" s="36" t="n"/>
      <c r="C501" s="37">
        <f>IF($A501="","",IF($B501&lt;&gt;"",$B501,IF($A501=$A500,$E500,Configuración!$C$5)))</f>
        <v/>
      </c>
      <c r="D501" s="38" t="n"/>
      <c r="E501" s="37">
        <f>IF(OR($C501="",$D501=""),"",$C501+$D501/1440)</f>
        <v/>
      </c>
      <c r="F501" s="39" t="n"/>
      <c r="G501" s="40" t="n"/>
      <c r="H501" s="40" t="n"/>
      <c r="I501" s="40" t="n"/>
      <c r="J501" s="40" t="n"/>
      <c r="K501" s="40" t="n"/>
      <c r="L501" s="41" t="n"/>
      <c r="M501" s="42">
        <f>IF(OR($C501="",$E501="",$H501="",$K501="Cancelada"),"",IF(COUNTIFS($A$5:$A$504,$A501,$H$5:$H$504,$H501,$K$5:$K$504,"&lt;&gt;Cancelada",$C$5:$C$504,"&lt;"&amp;$E501,$E$5:$E$504,"&gt;"&amp;$C501)&gt;1,"Se solapa con otra actividad en esta sala",""))</f>
        <v/>
      </c>
    </row>
    <row r="502" ht="21" customHeight="1">
      <c r="A502" s="35" t="n"/>
      <c r="B502" s="36" t="n"/>
      <c r="C502" s="37">
        <f>IF($A502="","",IF($B502&lt;&gt;"",$B502,IF($A502=$A501,$E501,Configuración!$C$5)))</f>
        <v/>
      </c>
      <c r="D502" s="38" t="n"/>
      <c r="E502" s="37">
        <f>IF(OR($C502="",$D502=""),"",$C502+$D502/1440)</f>
        <v/>
      </c>
      <c r="F502" s="39" t="n"/>
      <c r="G502" s="40" t="n"/>
      <c r="H502" s="40" t="n"/>
      <c r="I502" s="40" t="n"/>
      <c r="J502" s="40" t="n"/>
      <c r="K502" s="40" t="n"/>
      <c r="L502" s="41" t="n"/>
      <c r="M502" s="42">
        <f>IF(OR($C502="",$E502="",$H502="",$K502="Cancelada"),"",IF(COUNTIFS($A$5:$A$504,$A502,$H$5:$H$504,$H502,$K$5:$K$504,"&lt;&gt;Cancelada",$C$5:$C$504,"&lt;"&amp;$E502,$E$5:$E$504,"&gt;"&amp;$C502)&gt;1,"Se solapa con otra actividad en esta sala",""))</f>
        <v/>
      </c>
    </row>
    <row r="503" ht="21" customHeight="1">
      <c r="A503" s="35" t="n"/>
      <c r="B503" s="36" t="n"/>
      <c r="C503" s="37">
        <f>IF($A503="","",IF($B503&lt;&gt;"",$B503,IF($A503=$A502,$E502,Configuración!$C$5)))</f>
        <v/>
      </c>
      <c r="D503" s="38" t="n"/>
      <c r="E503" s="37">
        <f>IF(OR($C503="",$D503=""),"",$C503+$D503/1440)</f>
        <v/>
      </c>
      <c r="F503" s="39" t="n"/>
      <c r="G503" s="40" t="n"/>
      <c r="H503" s="40" t="n"/>
      <c r="I503" s="40" t="n"/>
      <c r="J503" s="40" t="n"/>
      <c r="K503" s="40" t="n"/>
      <c r="L503" s="41" t="n"/>
      <c r="M503" s="42">
        <f>IF(OR($C503="",$E503="",$H503="",$K503="Cancelada"),"",IF(COUNTIFS($A$5:$A$504,$A503,$H$5:$H$504,$H503,$K$5:$K$504,"&lt;&gt;Cancelada",$C$5:$C$504,"&lt;"&amp;$E503,$E$5:$E$504,"&gt;"&amp;$C503)&gt;1,"Se solapa con otra actividad en esta sala",""))</f>
        <v/>
      </c>
    </row>
    <row r="504" ht="21" customHeight="1">
      <c r="A504" s="35" t="n"/>
      <c r="B504" s="36" t="n"/>
      <c r="C504" s="37">
        <f>IF($A504="","",IF($B504&lt;&gt;"",$B504,IF($A504=$A503,$E503,Configuración!$C$5)))</f>
        <v/>
      </c>
      <c r="D504" s="38" t="n"/>
      <c r="E504" s="37">
        <f>IF(OR($C504="",$D504=""),"",$C504+$D504/1440)</f>
        <v/>
      </c>
      <c r="F504" s="39" t="n"/>
      <c r="G504" s="40" t="n"/>
      <c r="H504" s="40" t="n"/>
      <c r="I504" s="40" t="n"/>
      <c r="J504" s="40" t="n"/>
      <c r="K504" s="40" t="n"/>
      <c r="L504" s="41" t="n"/>
      <c r="M504" s="42">
        <f>IF(OR($C504="",$E504="",$H504="",$K504="Cancelada"),"",IF(COUNTIFS($A$5:$A$504,$A504,$H$5:$H$504,$H504,$K$5:$K$504,"&lt;&gt;Cancelada",$C$5:$C$504,"&lt;"&amp;$E504,$E$5:$E$504,"&gt;"&amp;$C504)&gt;1,"Se solapa con otra actividad en esta sala",""))</f>
        <v/>
      </c>
    </row>
  </sheetData>
  <autoFilter ref="A4:M504"/>
  <mergeCells count="1">
    <mergeCell ref="K1:M1"/>
  </mergeCells>
  <conditionalFormatting sqref="A5:M504">
    <cfRule type="expression" priority="1" dxfId="0" stopIfTrue="0">
      <formula>$K5="Cancelada"</formula>
    </cfRule>
  </conditionalFormatting>
  <conditionalFormatting sqref="I5:I504">
    <cfRule type="expression" priority="2" dxfId="1">
      <formula>$I5="Dirección / Presidencia"</formula>
    </cfRule>
    <cfRule type="expression" priority="3" dxfId="2">
      <formula>$I5="Secretaría General"</formula>
    </cfRule>
    <cfRule type="expression" priority="4" dxfId="3">
      <formula>$I5="Programa"</formula>
    </cfRule>
    <cfRule type="expression" priority="5" dxfId="4">
      <formula>$I5="Logística"</formula>
    </cfRule>
    <cfRule type="expression" priority="6" dxfId="5">
      <formula>$I5="Comunicación"</formula>
    </cfRule>
    <cfRule type="expression" priority="7" dxfId="6">
      <formula>$I5="Finanzas"</formula>
    </cfRule>
    <cfRule type="expression" priority="8" dxfId="7">
      <formula>$I5="Igualdad y Sostenibilidad"</formula>
    </cfRule>
  </conditionalFormatting>
  <conditionalFormatting sqref="K5:K504">
    <cfRule type="expression" priority="9" dxfId="8">
      <formula>$K5="Borrador"</formula>
    </cfRule>
    <cfRule type="expression" priority="10" dxfId="9">
      <formula>$K5="Pendiente de visto bueno"</formula>
    </cfRule>
    <cfRule type="expression" priority="11" dxfId="10">
      <formula>$K5="Confirmada"</formula>
    </cfRule>
    <cfRule type="expression" priority="12" dxfId="11">
      <formula>$K5="Cancelada"</formula>
    </cfRule>
  </conditionalFormatting>
  <conditionalFormatting sqref="M5:M504">
    <cfRule type="expression" priority="13" dxfId="12">
      <formula>$M5&lt;&gt;""</formula>
    </cfRule>
  </conditionalFormatting>
  <conditionalFormatting sqref="A5:L504">
    <cfRule type="expression" priority="14" dxfId="13">
      <formula>AND($A5&lt;&gt;"",ISEVEN(SUMPRODUCT(($A$5:$A5&lt;&gt;$A$4:$A4)*1)))</formula>
    </cfRule>
  </conditionalFormatting>
  <dataValidations count="6">
    <dataValidation sqref="G5:G504" showDropDown="0" showInputMessage="0" showErrorMessage="1" allowBlank="1" type="list" errorStyle="stop">
      <formula1>Configuración!$B$40:$B$51</formula1>
    </dataValidation>
    <dataValidation sqref="H5:H504" showDropDown="0" showInputMessage="0" showErrorMessage="1" allowBlank="1" type="list" errorStyle="stop">
      <formula1>Configuración!$B$22:$B$29</formula1>
    </dataValidation>
    <dataValidation sqref="I5:I504" showDropDown="0" showInputMessage="0" showErrorMessage="1" allowBlank="1" type="list" errorStyle="stop">
      <formula1>Configuración!$B$12:$B$18</formula1>
    </dataValidation>
    <dataValidation sqref="K5:K504" showDropDown="0" showInputMessage="0" showErrorMessage="1" allowBlank="1" type="list" errorStyle="stop">
      <formula1>Configuración!$B$33:$B$36</formula1>
    </dataValidation>
    <dataValidation sqref="A5:A504" showDropDown="0" showInputMessage="0" showErrorMessage="1" allowBlank="1" errorTitle="Fecha" error="Escribe una fecha, por ejemplo 16/11/2026" type="date" operator="greaterThan">
      <formula1>44927</formula1>
    </dataValidation>
    <dataValidation sqref="D5:D504" showDropDown="0" showInputMessage="0" showErrorMessage="1" allowBlank="1" error="Duración en minutos (1 a 1440)" type="whole" operator="between">
      <formula1>1</formula1>
      <formula2>1440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AFD4"/>
    <outlinePr summaryBelow="1" summaryRight="1"/>
    <pageSetUpPr/>
  </sheetPr>
  <dimension ref="A1:AB2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hidden="1" outlineLevel="1" width="7" customWidth="1" min="12" max="28"/>
  </cols>
  <sheetData>
    <row r="1" ht="42" customHeight="1">
      <c r="A1" s="28" t="inlineStr">
        <is>
          <t>Cuadrícula del día</t>
        </is>
      </c>
      <c r="B1" s="1" t="n"/>
      <c r="C1" s="1" t="n"/>
      <c r="D1" s="1" t="n"/>
      <c r="E1" s="1" t="n"/>
      <c r="F1" s="1" t="n"/>
      <c r="G1" s="29" t="inlineStr">
        <is>
          <t>Se rellena sola desde la Escaleta</t>
        </is>
      </c>
    </row>
    <row r="2" ht="5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4" ht="26" customHeight="1">
      <c r="A4" s="43" t="inlineStr">
        <is>
          <t>Día</t>
        </is>
      </c>
      <c r="B4" s="44">
        <f>Configuración!$F$6</f>
        <v/>
      </c>
      <c r="C4" s="45" t="n"/>
      <c r="D4" s="30">
        <f>"Cambia el día en la celda amarilla · franjas de "&amp;Configuración!$C$7&amp;" min (ajústalo en Configuración)"</f>
        <v/>
      </c>
    </row>
    <row r="5">
      <c r="L5" s="27" t="inlineStr">
        <is>
          <t>Cálculos auxiliares (no editar)</t>
        </is>
      </c>
    </row>
    <row r="6" ht="26" customHeight="1">
      <c r="A6" s="46" t="inlineStr">
        <is>
          <t>Hora</t>
        </is>
      </c>
      <c r="B6" s="46">
        <f>IF(Configuración!$B$22="","",Configuración!$B$22)</f>
        <v/>
      </c>
      <c r="C6" s="46">
        <f>IF(Configuración!$B$23="","",Configuración!$B$23)</f>
        <v/>
      </c>
      <c r="D6" s="46">
        <f>IF(Configuración!$B$24="","",Configuración!$B$24)</f>
        <v/>
      </c>
      <c r="E6" s="46">
        <f>IF(Configuración!$B$25="","",Configuración!$B$25)</f>
        <v/>
      </c>
      <c r="F6" s="46">
        <f>IF(Configuración!$B$26="","",Configuración!$B$26)</f>
        <v/>
      </c>
      <c r="G6" s="46">
        <f>IF(Configuración!$B$27="","",Configuración!$B$27)</f>
        <v/>
      </c>
      <c r="H6" s="46">
        <f>IF(Configuración!$B$28="","",Configuración!$B$28)</f>
        <v/>
      </c>
      <c r="I6" s="46">
        <f>IF(Configuración!$B$29="","",Configuración!$B$29)</f>
        <v/>
      </c>
      <c r="L6" s="47" t="inlineStr">
        <is>
          <t>fila 1</t>
        </is>
      </c>
      <c r="M6" s="47" t="inlineStr">
        <is>
          <t>fila 2</t>
        </is>
      </c>
      <c r="N6" s="47" t="inlineStr">
        <is>
          <t>fila 3</t>
        </is>
      </c>
      <c r="O6" s="47" t="inlineStr">
        <is>
          <t>fila 4</t>
        </is>
      </c>
      <c r="P6" s="47" t="inlineStr">
        <is>
          <t>fila 5</t>
        </is>
      </c>
      <c r="Q6" s="47" t="inlineStr">
        <is>
          <t>fila 6</t>
        </is>
      </c>
      <c r="R6" s="47" t="inlineStr">
        <is>
          <t>fila 7</t>
        </is>
      </c>
      <c r="S6" s="47" t="inlineStr">
        <is>
          <t>fila 8</t>
        </is>
      </c>
      <c r="U6" s="47" t="inlineStr">
        <is>
          <t>comité 1</t>
        </is>
      </c>
      <c r="V6" s="47" t="inlineStr">
        <is>
          <t>comité 2</t>
        </is>
      </c>
      <c r="W6" s="47" t="inlineStr">
        <is>
          <t>comité 3</t>
        </is>
      </c>
      <c r="X6" s="47" t="inlineStr">
        <is>
          <t>comité 4</t>
        </is>
      </c>
      <c r="Y6" s="47" t="inlineStr">
        <is>
          <t>comité 5</t>
        </is>
      </c>
      <c r="Z6" s="47" t="inlineStr">
        <is>
          <t>comité 6</t>
        </is>
      </c>
      <c r="AA6" s="47" t="inlineStr">
        <is>
          <t>comité 7</t>
        </is>
      </c>
      <c r="AB6" s="47" t="inlineStr">
        <is>
          <t>comité 8</t>
        </is>
      </c>
    </row>
    <row r="7" ht="18" customHeight="1">
      <c r="A7" s="48">
        <f>Configuración!$C$5</f>
        <v/>
      </c>
      <c r="B7" s="49">
        <f>IF(L7=0,"",IF(L7&lt;&gt;L6,INDEX(Escaleta!$F$1:$F$504,L7),IF(L7&lt;&gt;L5,TEXT(INDEX(Escaleta!$C$1:$C$504,L7),"hh:mm")&amp;"–"&amp;TEXT(INDEX(Escaleta!$E$1:$E$504,L7),"hh:mm"),"")))</f>
        <v/>
      </c>
      <c r="C7" s="49">
        <f>IF(M7=0,"",IF(M7&lt;&gt;M6,INDEX(Escaleta!$F$1:$F$504,M7),IF(M7&lt;&gt;M5,TEXT(INDEX(Escaleta!$C$1:$C$504,M7),"hh:mm")&amp;"–"&amp;TEXT(INDEX(Escaleta!$E$1:$E$504,M7),"hh:mm"),"")))</f>
        <v/>
      </c>
      <c r="D7" s="49">
        <f>IF(N7=0,"",IF(N7&lt;&gt;N6,INDEX(Escaleta!$F$1:$F$504,N7),IF(N7&lt;&gt;N5,TEXT(INDEX(Escaleta!$C$1:$C$504,N7),"hh:mm")&amp;"–"&amp;TEXT(INDEX(Escaleta!$E$1:$E$504,N7),"hh:mm"),"")))</f>
        <v/>
      </c>
      <c r="E7" s="49">
        <f>IF(O7=0,"",IF(O7&lt;&gt;O6,INDEX(Escaleta!$F$1:$F$504,O7),IF(O7&lt;&gt;O5,TEXT(INDEX(Escaleta!$C$1:$C$504,O7),"hh:mm")&amp;"–"&amp;TEXT(INDEX(Escaleta!$E$1:$E$504,O7),"hh:mm"),"")))</f>
        <v/>
      </c>
      <c r="F7" s="49">
        <f>IF(P7=0,"",IF(P7&lt;&gt;P6,INDEX(Escaleta!$F$1:$F$504,P7),IF(P7&lt;&gt;P5,TEXT(INDEX(Escaleta!$C$1:$C$504,P7),"hh:mm")&amp;"–"&amp;TEXT(INDEX(Escaleta!$E$1:$E$504,P7),"hh:mm"),"")))</f>
        <v/>
      </c>
      <c r="G7" s="49">
        <f>IF(Q7=0,"",IF(Q7&lt;&gt;Q6,INDEX(Escaleta!$F$1:$F$504,Q7),IF(Q7&lt;&gt;Q5,TEXT(INDEX(Escaleta!$C$1:$C$504,Q7),"hh:mm")&amp;"–"&amp;TEXT(INDEX(Escaleta!$E$1:$E$504,Q7),"hh:mm"),"")))</f>
        <v/>
      </c>
      <c r="H7" s="49">
        <f>IF(R7=0,"",IF(R7&lt;&gt;R6,INDEX(Escaleta!$F$1:$F$504,R7),IF(R7&lt;&gt;R5,TEXT(INDEX(Escaleta!$C$1:$C$504,R7),"hh:mm")&amp;"–"&amp;TEXT(INDEX(Escaleta!$E$1:$E$504,R7),"hh:mm"),"")))</f>
        <v/>
      </c>
      <c r="I7" s="49">
        <f>IF(S7=0,"",IF(S7&lt;&gt;S6,INDEX(Escaleta!$F$1:$F$504,S7),IF(S7&lt;&gt;S5,TEXT(INDEX(Escaleta!$C$1:$C$504,S7),"hh:mm")&amp;"–"&amp;TEXT(INDEX(Escaleta!$E$1:$E$504,S7),"hh:mm"),"")))</f>
        <v/>
      </c>
      <c r="L7" s="50">
        <f>IF(OR($A7="",B$6=""),0,SUMPRODUCT(MAX((Escaleta!$A$5:$A$504=$B$4)*(Escaleta!$H$5:$H$504=B$6)*(Escaleta!$K$5:$K$504&lt;&gt;"Cancelada")*(Escaleta!$C$5:$C$504&lt;$A7+Configuración!$C$7/1440)*(Escaleta!$E$5:$E$504&gt;$A7)*ROW(Escaleta!$A$5:$A$504))))</f>
        <v/>
      </c>
      <c r="M7" s="50">
        <f>IF(OR($A7="",C$6=""),0,SUMPRODUCT(MAX((Escaleta!$A$5:$A$504=$B$4)*(Escaleta!$H$5:$H$504=C$6)*(Escaleta!$K$5:$K$504&lt;&gt;"Cancelada")*(Escaleta!$C$5:$C$504&lt;$A7+Configuración!$C$7/1440)*(Escaleta!$E$5:$E$504&gt;$A7)*ROW(Escaleta!$A$5:$A$504))))</f>
        <v/>
      </c>
      <c r="N7" s="50">
        <f>IF(OR($A7="",D$6=""),0,SUMPRODUCT(MAX((Escaleta!$A$5:$A$504=$B$4)*(Escaleta!$H$5:$H$504=D$6)*(Escaleta!$K$5:$K$504&lt;&gt;"Cancelada")*(Escaleta!$C$5:$C$504&lt;$A7+Configuración!$C$7/1440)*(Escaleta!$E$5:$E$504&gt;$A7)*ROW(Escaleta!$A$5:$A$504))))</f>
        <v/>
      </c>
      <c r="O7" s="50">
        <f>IF(OR($A7="",E$6=""),0,SUMPRODUCT(MAX((Escaleta!$A$5:$A$504=$B$4)*(Escaleta!$H$5:$H$504=E$6)*(Escaleta!$K$5:$K$504&lt;&gt;"Cancelada")*(Escaleta!$C$5:$C$504&lt;$A7+Configuración!$C$7/1440)*(Escaleta!$E$5:$E$504&gt;$A7)*ROW(Escaleta!$A$5:$A$504))))</f>
        <v/>
      </c>
      <c r="P7" s="50">
        <f>IF(OR($A7="",F$6=""),0,SUMPRODUCT(MAX((Escaleta!$A$5:$A$504=$B$4)*(Escaleta!$H$5:$H$504=F$6)*(Escaleta!$K$5:$K$504&lt;&gt;"Cancelada")*(Escaleta!$C$5:$C$504&lt;$A7+Configuración!$C$7/1440)*(Escaleta!$E$5:$E$504&gt;$A7)*ROW(Escaleta!$A$5:$A$504))))</f>
        <v/>
      </c>
      <c r="Q7" s="50">
        <f>IF(OR($A7="",G$6=""),0,SUMPRODUCT(MAX((Escaleta!$A$5:$A$504=$B$4)*(Escaleta!$H$5:$H$504=G$6)*(Escaleta!$K$5:$K$504&lt;&gt;"Cancelada")*(Escaleta!$C$5:$C$504&lt;$A7+Configuración!$C$7/1440)*(Escaleta!$E$5:$E$504&gt;$A7)*ROW(Escaleta!$A$5:$A$504))))</f>
        <v/>
      </c>
      <c r="R7" s="50">
        <f>IF(OR($A7="",H$6=""),0,SUMPRODUCT(MAX((Escaleta!$A$5:$A$504=$B$4)*(Escaleta!$H$5:$H$504=H$6)*(Escaleta!$K$5:$K$504&lt;&gt;"Cancelada")*(Escaleta!$C$5:$C$504&lt;$A7+Configuración!$C$7/1440)*(Escaleta!$E$5:$E$504&gt;$A7)*ROW(Escaleta!$A$5:$A$504))))</f>
        <v/>
      </c>
      <c r="S7" s="50">
        <f>IF(OR($A7="",I$6=""),0,SUMPRODUCT(MAX((Escaleta!$A$5:$A$504=$B$4)*(Escaleta!$H$5:$H$504=I$6)*(Escaleta!$K$5:$K$504&lt;&gt;"Cancelada")*(Escaleta!$C$5:$C$504&lt;$A7+Configuración!$C$7/1440)*(Escaleta!$E$5:$E$504&gt;$A7)*ROW(Escaleta!$A$5:$A$504))))</f>
        <v/>
      </c>
      <c r="U7" s="50">
        <f>IF(L7=0,"",INDEX(Escaleta!$I$1:$I$504,L7))</f>
        <v/>
      </c>
      <c r="V7" s="50">
        <f>IF(M7=0,"",INDEX(Escaleta!$I$1:$I$504,M7))</f>
        <v/>
      </c>
      <c r="W7" s="50">
        <f>IF(N7=0,"",INDEX(Escaleta!$I$1:$I$504,N7))</f>
        <v/>
      </c>
      <c r="X7" s="50">
        <f>IF(O7=0,"",INDEX(Escaleta!$I$1:$I$504,O7))</f>
        <v/>
      </c>
      <c r="Y7" s="50">
        <f>IF(P7=0,"",INDEX(Escaleta!$I$1:$I$504,P7))</f>
        <v/>
      </c>
      <c r="Z7" s="50">
        <f>IF(Q7=0,"",INDEX(Escaleta!$I$1:$I$504,Q7))</f>
        <v/>
      </c>
      <c r="AA7" s="50">
        <f>IF(R7=0,"",INDEX(Escaleta!$I$1:$I$504,R7))</f>
        <v/>
      </c>
      <c r="AB7" s="50">
        <f>IF(S7=0,"",INDEX(Escaleta!$I$1:$I$504,S7))</f>
        <v/>
      </c>
    </row>
    <row r="8" ht="18" customHeight="1">
      <c r="A8" s="48">
        <f>IF(A7="","",IF(A7+Configuración!$C$7/1440&gt;Configuración!$C$6-0.0001,"",A7+Configuración!$C$7/1440))</f>
        <v/>
      </c>
      <c r="B8" s="49">
        <f>IF(L8=0,"",IF(L8&lt;&gt;L7,INDEX(Escaleta!$F$1:$F$504,L8),IF(L8&lt;&gt;L6,TEXT(INDEX(Escaleta!$C$1:$C$504,L8),"hh:mm")&amp;"–"&amp;TEXT(INDEX(Escaleta!$E$1:$E$504,L8),"hh:mm"),"")))</f>
        <v/>
      </c>
      <c r="C8" s="49">
        <f>IF(M8=0,"",IF(M8&lt;&gt;M7,INDEX(Escaleta!$F$1:$F$504,M8),IF(M8&lt;&gt;M6,TEXT(INDEX(Escaleta!$C$1:$C$504,M8),"hh:mm")&amp;"–"&amp;TEXT(INDEX(Escaleta!$E$1:$E$504,M8),"hh:mm"),"")))</f>
        <v/>
      </c>
      <c r="D8" s="49">
        <f>IF(N8=0,"",IF(N8&lt;&gt;N7,INDEX(Escaleta!$F$1:$F$504,N8),IF(N8&lt;&gt;N6,TEXT(INDEX(Escaleta!$C$1:$C$504,N8),"hh:mm")&amp;"–"&amp;TEXT(INDEX(Escaleta!$E$1:$E$504,N8),"hh:mm"),"")))</f>
        <v/>
      </c>
      <c r="E8" s="49">
        <f>IF(O8=0,"",IF(O8&lt;&gt;O7,INDEX(Escaleta!$F$1:$F$504,O8),IF(O8&lt;&gt;O6,TEXT(INDEX(Escaleta!$C$1:$C$504,O8),"hh:mm")&amp;"–"&amp;TEXT(INDEX(Escaleta!$E$1:$E$504,O8),"hh:mm"),"")))</f>
        <v/>
      </c>
      <c r="F8" s="49">
        <f>IF(P8=0,"",IF(P8&lt;&gt;P7,INDEX(Escaleta!$F$1:$F$504,P8),IF(P8&lt;&gt;P6,TEXT(INDEX(Escaleta!$C$1:$C$504,P8),"hh:mm")&amp;"–"&amp;TEXT(INDEX(Escaleta!$E$1:$E$504,P8),"hh:mm"),"")))</f>
        <v/>
      </c>
      <c r="G8" s="49">
        <f>IF(Q8=0,"",IF(Q8&lt;&gt;Q7,INDEX(Escaleta!$F$1:$F$504,Q8),IF(Q8&lt;&gt;Q6,TEXT(INDEX(Escaleta!$C$1:$C$504,Q8),"hh:mm")&amp;"–"&amp;TEXT(INDEX(Escaleta!$E$1:$E$504,Q8),"hh:mm"),"")))</f>
        <v/>
      </c>
      <c r="H8" s="49">
        <f>IF(R8=0,"",IF(R8&lt;&gt;R7,INDEX(Escaleta!$F$1:$F$504,R8),IF(R8&lt;&gt;R6,TEXT(INDEX(Escaleta!$C$1:$C$504,R8),"hh:mm")&amp;"–"&amp;TEXT(INDEX(Escaleta!$E$1:$E$504,R8),"hh:mm"),"")))</f>
        <v/>
      </c>
      <c r="I8" s="49">
        <f>IF(S8=0,"",IF(S8&lt;&gt;S7,INDEX(Escaleta!$F$1:$F$504,S8),IF(S8&lt;&gt;S6,TEXT(INDEX(Escaleta!$C$1:$C$504,S8),"hh:mm")&amp;"–"&amp;TEXT(INDEX(Escaleta!$E$1:$E$504,S8),"hh:mm"),"")))</f>
        <v/>
      </c>
      <c r="L8" s="50">
        <f>IF(OR($A8="",B$6=""),0,SUMPRODUCT(MAX((Escaleta!$A$5:$A$504=$B$4)*(Escaleta!$H$5:$H$504=B$6)*(Escaleta!$K$5:$K$504&lt;&gt;"Cancelada")*(Escaleta!$C$5:$C$504&lt;$A8+Configuración!$C$7/1440)*(Escaleta!$E$5:$E$504&gt;$A8)*ROW(Escaleta!$A$5:$A$504))))</f>
        <v/>
      </c>
      <c r="M8" s="50">
        <f>IF(OR($A8="",C$6=""),0,SUMPRODUCT(MAX((Escaleta!$A$5:$A$504=$B$4)*(Escaleta!$H$5:$H$504=C$6)*(Escaleta!$K$5:$K$504&lt;&gt;"Cancelada")*(Escaleta!$C$5:$C$504&lt;$A8+Configuración!$C$7/1440)*(Escaleta!$E$5:$E$504&gt;$A8)*ROW(Escaleta!$A$5:$A$504))))</f>
        <v/>
      </c>
      <c r="N8" s="50">
        <f>IF(OR($A8="",D$6=""),0,SUMPRODUCT(MAX((Escaleta!$A$5:$A$504=$B$4)*(Escaleta!$H$5:$H$504=D$6)*(Escaleta!$K$5:$K$504&lt;&gt;"Cancelada")*(Escaleta!$C$5:$C$504&lt;$A8+Configuración!$C$7/1440)*(Escaleta!$E$5:$E$504&gt;$A8)*ROW(Escaleta!$A$5:$A$504))))</f>
        <v/>
      </c>
      <c r="O8" s="50">
        <f>IF(OR($A8="",E$6=""),0,SUMPRODUCT(MAX((Escaleta!$A$5:$A$504=$B$4)*(Escaleta!$H$5:$H$504=E$6)*(Escaleta!$K$5:$K$504&lt;&gt;"Cancelada")*(Escaleta!$C$5:$C$504&lt;$A8+Configuración!$C$7/1440)*(Escaleta!$E$5:$E$504&gt;$A8)*ROW(Escaleta!$A$5:$A$504))))</f>
        <v/>
      </c>
      <c r="P8" s="50">
        <f>IF(OR($A8="",F$6=""),0,SUMPRODUCT(MAX((Escaleta!$A$5:$A$504=$B$4)*(Escaleta!$H$5:$H$504=F$6)*(Escaleta!$K$5:$K$504&lt;&gt;"Cancelada")*(Escaleta!$C$5:$C$504&lt;$A8+Configuración!$C$7/1440)*(Escaleta!$E$5:$E$504&gt;$A8)*ROW(Escaleta!$A$5:$A$504))))</f>
        <v/>
      </c>
      <c r="Q8" s="50">
        <f>IF(OR($A8="",G$6=""),0,SUMPRODUCT(MAX((Escaleta!$A$5:$A$504=$B$4)*(Escaleta!$H$5:$H$504=G$6)*(Escaleta!$K$5:$K$504&lt;&gt;"Cancelada")*(Escaleta!$C$5:$C$504&lt;$A8+Configuración!$C$7/1440)*(Escaleta!$E$5:$E$504&gt;$A8)*ROW(Escaleta!$A$5:$A$504))))</f>
        <v/>
      </c>
      <c r="R8" s="50">
        <f>IF(OR($A8="",H$6=""),0,SUMPRODUCT(MAX((Escaleta!$A$5:$A$504=$B$4)*(Escaleta!$H$5:$H$504=H$6)*(Escaleta!$K$5:$K$504&lt;&gt;"Cancelada")*(Escaleta!$C$5:$C$504&lt;$A8+Configuración!$C$7/1440)*(Escaleta!$E$5:$E$504&gt;$A8)*ROW(Escaleta!$A$5:$A$504))))</f>
        <v/>
      </c>
      <c r="S8" s="50">
        <f>IF(OR($A8="",I$6=""),0,SUMPRODUCT(MAX((Escaleta!$A$5:$A$504=$B$4)*(Escaleta!$H$5:$H$504=I$6)*(Escaleta!$K$5:$K$504&lt;&gt;"Cancelada")*(Escaleta!$C$5:$C$504&lt;$A8+Configuración!$C$7/1440)*(Escaleta!$E$5:$E$504&gt;$A8)*ROW(Escaleta!$A$5:$A$504))))</f>
        <v/>
      </c>
      <c r="U8" s="50">
        <f>IF(L8=0,"",INDEX(Escaleta!$I$1:$I$504,L8))</f>
        <v/>
      </c>
      <c r="V8" s="50">
        <f>IF(M8=0,"",INDEX(Escaleta!$I$1:$I$504,M8))</f>
        <v/>
      </c>
      <c r="W8" s="50">
        <f>IF(N8=0,"",INDEX(Escaleta!$I$1:$I$504,N8))</f>
        <v/>
      </c>
      <c r="X8" s="50">
        <f>IF(O8=0,"",INDEX(Escaleta!$I$1:$I$504,O8))</f>
        <v/>
      </c>
      <c r="Y8" s="50">
        <f>IF(P8=0,"",INDEX(Escaleta!$I$1:$I$504,P8))</f>
        <v/>
      </c>
      <c r="Z8" s="50">
        <f>IF(Q8=0,"",INDEX(Escaleta!$I$1:$I$504,Q8))</f>
        <v/>
      </c>
      <c r="AA8" s="50">
        <f>IF(R8=0,"",INDEX(Escaleta!$I$1:$I$504,R8))</f>
        <v/>
      </c>
      <c r="AB8" s="50">
        <f>IF(S8=0,"",INDEX(Escaleta!$I$1:$I$504,S8))</f>
        <v/>
      </c>
    </row>
    <row r="9" ht="18" customHeight="1">
      <c r="A9" s="48">
        <f>IF(A8="","",IF(A8+Configuración!$C$7/1440&gt;Configuración!$C$6-0.0001,"",A8+Configuración!$C$7/1440))</f>
        <v/>
      </c>
      <c r="B9" s="49">
        <f>IF(L9=0,"",IF(L9&lt;&gt;L8,INDEX(Escaleta!$F$1:$F$504,L9),IF(L9&lt;&gt;L7,TEXT(INDEX(Escaleta!$C$1:$C$504,L9),"hh:mm")&amp;"–"&amp;TEXT(INDEX(Escaleta!$E$1:$E$504,L9),"hh:mm"),"")))</f>
        <v/>
      </c>
      <c r="C9" s="49">
        <f>IF(M9=0,"",IF(M9&lt;&gt;M8,INDEX(Escaleta!$F$1:$F$504,M9),IF(M9&lt;&gt;M7,TEXT(INDEX(Escaleta!$C$1:$C$504,M9),"hh:mm")&amp;"–"&amp;TEXT(INDEX(Escaleta!$E$1:$E$504,M9),"hh:mm"),"")))</f>
        <v/>
      </c>
      <c r="D9" s="49">
        <f>IF(N9=0,"",IF(N9&lt;&gt;N8,INDEX(Escaleta!$F$1:$F$504,N9),IF(N9&lt;&gt;N7,TEXT(INDEX(Escaleta!$C$1:$C$504,N9),"hh:mm")&amp;"–"&amp;TEXT(INDEX(Escaleta!$E$1:$E$504,N9),"hh:mm"),"")))</f>
        <v/>
      </c>
      <c r="E9" s="49">
        <f>IF(O9=0,"",IF(O9&lt;&gt;O8,INDEX(Escaleta!$F$1:$F$504,O9),IF(O9&lt;&gt;O7,TEXT(INDEX(Escaleta!$C$1:$C$504,O9),"hh:mm")&amp;"–"&amp;TEXT(INDEX(Escaleta!$E$1:$E$504,O9),"hh:mm"),"")))</f>
        <v/>
      </c>
      <c r="F9" s="49">
        <f>IF(P9=0,"",IF(P9&lt;&gt;P8,INDEX(Escaleta!$F$1:$F$504,P9),IF(P9&lt;&gt;P7,TEXT(INDEX(Escaleta!$C$1:$C$504,P9),"hh:mm")&amp;"–"&amp;TEXT(INDEX(Escaleta!$E$1:$E$504,P9),"hh:mm"),"")))</f>
        <v/>
      </c>
      <c r="G9" s="49">
        <f>IF(Q9=0,"",IF(Q9&lt;&gt;Q8,INDEX(Escaleta!$F$1:$F$504,Q9),IF(Q9&lt;&gt;Q7,TEXT(INDEX(Escaleta!$C$1:$C$504,Q9),"hh:mm")&amp;"–"&amp;TEXT(INDEX(Escaleta!$E$1:$E$504,Q9),"hh:mm"),"")))</f>
        <v/>
      </c>
      <c r="H9" s="49">
        <f>IF(R9=0,"",IF(R9&lt;&gt;R8,INDEX(Escaleta!$F$1:$F$504,R9),IF(R9&lt;&gt;R7,TEXT(INDEX(Escaleta!$C$1:$C$504,R9),"hh:mm")&amp;"–"&amp;TEXT(INDEX(Escaleta!$E$1:$E$504,R9),"hh:mm"),"")))</f>
        <v/>
      </c>
      <c r="I9" s="49">
        <f>IF(S9=0,"",IF(S9&lt;&gt;S8,INDEX(Escaleta!$F$1:$F$504,S9),IF(S9&lt;&gt;S7,TEXT(INDEX(Escaleta!$C$1:$C$504,S9),"hh:mm")&amp;"–"&amp;TEXT(INDEX(Escaleta!$E$1:$E$504,S9),"hh:mm"),"")))</f>
        <v/>
      </c>
      <c r="L9" s="50">
        <f>IF(OR($A9="",B$6=""),0,SUMPRODUCT(MAX((Escaleta!$A$5:$A$504=$B$4)*(Escaleta!$H$5:$H$504=B$6)*(Escaleta!$K$5:$K$504&lt;&gt;"Cancelada")*(Escaleta!$C$5:$C$504&lt;$A9+Configuración!$C$7/1440)*(Escaleta!$E$5:$E$504&gt;$A9)*ROW(Escaleta!$A$5:$A$504))))</f>
        <v/>
      </c>
      <c r="M9" s="50">
        <f>IF(OR($A9="",C$6=""),0,SUMPRODUCT(MAX((Escaleta!$A$5:$A$504=$B$4)*(Escaleta!$H$5:$H$504=C$6)*(Escaleta!$K$5:$K$504&lt;&gt;"Cancelada")*(Escaleta!$C$5:$C$504&lt;$A9+Configuración!$C$7/1440)*(Escaleta!$E$5:$E$504&gt;$A9)*ROW(Escaleta!$A$5:$A$504))))</f>
        <v/>
      </c>
      <c r="N9" s="50">
        <f>IF(OR($A9="",D$6=""),0,SUMPRODUCT(MAX((Escaleta!$A$5:$A$504=$B$4)*(Escaleta!$H$5:$H$504=D$6)*(Escaleta!$K$5:$K$504&lt;&gt;"Cancelada")*(Escaleta!$C$5:$C$504&lt;$A9+Configuración!$C$7/1440)*(Escaleta!$E$5:$E$504&gt;$A9)*ROW(Escaleta!$A$5:$A$504))))</f>
        <v/>
      </c>
      <c r="O9" s="50">
        <f>IF(OR($A9="",E$6=""),0,SUMPRODUCT(MAX((Escaleta!$A$5:$A$504=$B$4)*(Escaleta!$H$5:$H$504=E$6)*(Escaleta!$K$5:$K$504&lt;&gt;"Cancelada")*(Escaleta!$C$5:$C$504&lt;$A9+Configuración!$C$7/1440)*(Escaleta!$E$5:$E$504&gt;$A9)*ROW(Escaleta!$A$5:$A$504))))</f>
        <v/>
      </c>
      <c r="P9" s="50">
        <f>IF(OR($A9="",F$6=""),0,SUMPRODUCT(MAX((Escaleta!$A$5:$A$504=$B$4)*(Escaleta!$H$5:$H$504=F$6)*(Escaleta!$K$5:$K$504&lt;&gt;"Cancelada")*(Escaleta!$C$5:$C$504&lt;$A9+Configuración!$C$7/1440)*(Escaleta!$E$5:$E$504&gt;$A9)*ROW(Escaleta!$A$5:$A$504))))</f>
        <v/>
      </c>
      <c r="Q9" s="50">
        <f>IF(OR($A9="",G$6=""),0,SUMPRODUCT(MAX((Escaleta!$A$5:$A$504=$B$4)*(Escaleta!$H$5:$H$504=G$6)*(Escaleta!$K$5:$K$504&lt;&gt;"Cancelada")*(Escaleta!$C$5:$C$504&lt;$A9+Configuración!$C$7/1440)*(Escaleta!$E$5:$E$504&gt;$A9)*ROW(Escaleta!$A$5:$A$504))))</f>
        <v/>
      </c>
      <c r="R9" s="50">
        <f>IF(OR($A9="",H$6=""),0,SUMPRODUCT(MAX((Escaleta!$A$5:$A$504=$B$4)*(Escaleta!$H$5:$H$504=H$6)*(Escaleta!$K$5:$K$504&lt;&gt;"Cancelada")*(Escaleta!$C$5:$C$504&lt;$A9+Configuración!$C$7/1440)*(Escaleta!$E$5:$E$504&gt;$A9)*ROW(Escaleta!$A$5:$A$504))))</f>
        <v/>
      </c>
      <c r="S9" s="50">
        <f>IF(OR($A9="",I$6=""),0,SUMPRODUCT(MAX((Escaleta!$A$5:$A$504=$B$4)*(Escaleta!$H$5:$H$504=I$6)*(Escaleta!$K$5:$K$504&lt;&gt;"Cancelada")*(Escaleta!$C$5:$C$504&lt;$A9+Configuración!$C$7/1440)*(Escaleta!$E$5:$E$504&gt;$A9)*ROW(Escaleta!$A$5:$A$504))))</f>
        <v/>
      </c>
      <c r="U9" s="50">
        <f>IF(L9=0,"",INDEX(Escaleta!$I$1:$I$504,L9))</f>
        <v/>
      </c>
      <c r="V9" s="50">
        <f>IF(M9=0,"",INDEX(Escaleta!$I$1:$I$504,M9))</f>
        <v/>
      </c>
      <c r="W9" s="50">
        <f>IF(N9=0,"",INDEX(Escaleta!$I$1:$I$504,N9))</f>
        <v/>
      </c>
      <c r="X9" s="50">
        <f>IF(O9=0,"",INDEX(Escaleta!$I$1:$I$504,O9))</f>
        <v/>
      </c>
      <c r="Y9" s="50">
        <f>IF(P9=0,"",INDEX(Escaleta!$I$1:$I$504,P9))</f>
        <v/>
      </c>
      <c r="Z9" s="50">
        <f>IF(Q9=0,"",INDEX(Escaleta!$I$1:$I$504,Q9))</f>
        <v/>
      </c>
      <c r="AA9" s="50">
        <f>IF(R9=0,"",INDEX(Escaleta!$I$1:$I$504,R9))</f>
        <v/>
      </c>
      <c r="AB9" s="50">
        <f>IF(S9=0,"",INDEX(Escaleta!$I$1:$I$504,S9))</f>
        <v/>
      </c>
    </row>
    <row r="10" ht="18" customHeight="1">
      <c r="A10" s="48">
        <f>IF(A9="","",IF(A9+Configuración!$C$7/1440&gt;Configuración!$C$6-0.0001,"",A9+Configuración!$C$7/1440))</f>
        <v/>
      </c>
      <c r="B10" s="49">
        <f>IF(L10=0,"",IF(L10&lt;&gt;L9,INDEX(Escaleta!$F$1:$F$504,L10),IF(L10&lt;&gt;L8,TEXT(INDEX(Escaleta!$C$1:$C$504,L10),"hh:mm")&amp;"–"&amp;TEXT(INDEX(Escaleta!$E$1:$E$504,L10),"hh:mm"),"")))</f>
        <v/>
      </c>
      <c r="C10" s="49">
        <f>IF(M10=0,"",IF(M10&lt;&gt;M9,INDEX(Escaleta!$F$1:$F$504,M10),IF(M10&lt;&gt;M8,TEXT(INDEX(Escaleta!$C$1:$C$504,M10),"hh:mm")&amp;"–"&amp;TEXT(INDEX(Escaleta!$E$1:$E$504,M10),"hh:mm"),"")))</f>
        <v/>
      </c>
      <c r="D10" s="49">
        <f>IF(N10=0,"",IF(N10&lt;&gt;N9,INDEX(Escaleta!$F$1:$F$504,N10),IF(N10&lt;&gt;N8,TEXT(INDEX(Escaleta!$C$1:$C$504,N10),"hh:mm")&amp;"–"&amp;TEXT(INDEX(Escaleta!$E$1:$E$504,N10),"hh:mm"),"")))</f>
        <v/>
      </c>
      <c r="E10" s="49">
        <f>IF(O10=0,"",IF(O10&lt;&gt;O9,INDEX(Escaleta!$F$1:$F$504,O10),IF(O10&lt;&gt;O8,TEXT(INDEX(Escaleta!$C$1:$C$504,O10),"hh:mm")&amp;"–"&amp;TEXT(INDEX(Escaleta!$E$1:$E$504,O10),"hh:mm"),"")))</f>
        <v/>
      </c>
      <c r="F10" s="49">
        <f>IF(P10=0,"",IF(P10&lt;&gt;P9,INDEX(Escaleta!$F$1:$F$504,P10),IF(P10&lt;&gt;P8,TEXT(INDEX(Escaleta!$C$1:$C$504,P10),"hh:mm")&amp;"–"&amp;TEXT(INDEX(Escaleta!$E$1:$E$504,P10),"hh:mm"),"")))</f>
        <v/>
      </c>
      <c r="G10" s="49">
        <f>IF(Q10=0,"",IF(Q10&lt;&gt;Q9,INDEX(Escaleta!$F$1:$F$504,Q10),IF(Q10&lt;&gt;Q8,TEXT(INDEX(Escaleta!$C$1:$C$504,Q10),"hh:mm")&amp;"–"&amp;TEXT(INDEX(Escaleta!$E$1:$E$504,Q10),"hh:mm"),"")))</f>
        <v/>
      </c>
      <c r="H10" s="49">
        <f>IF(R10=0,"",IF(R10&lt;&gt;R9,INDEX(Escaleta!$F$1:$F$504,R10),IF(R10&lt;&gt;R8,TEXT(INDEX(Escaleta!$C$1:$C$504,R10),"hh:mm")&amp;"–"&amp;TEXT(INDEX(Escaleta!$E$1:$E$504,R10),"hh:mm"),"")))</f>
        <v/>
      </c>
      <c r="I10" s="49">
        <f>IF(S10=0,"",IF(S10&lt;&gt;S9,INDEX(Escaleta!$F$1:$F$504,S10),IF(S10&lt;&gt;S8,TEXT(INDEX(Escaleta!$C$1:$C$504,S10),"hh:mm")&amp;"–"&amp;TEXT(INDEX(Escaleta!$E$1:$E$504,S10),"hh:mm"),"")))</f>
        <v/>
      </c>
      <c r="L10" s="50">
        <f>IF(OR($A10="",B$6=""),0,SUMPRODUCT(MAX((Escaleta!$A$5:$A$504=$B$4)*(Escaleta!$H$5:$H$504=B$6)*(Escaleta!$K$5:$K$504&lt;&gt;"Cancelada")*(Escaleta!$C$5:$C$504&lt;$A10+Configuración!$C$7/1440)*(Escaleta!$E$5:$E$504&gt;$A10)*ROW(Escaleta!$A$5:$A$504))))</f>
        <v/>
      </c>
      <c r="M10" s="50">
        <f>IF(OR($A10="",C$6=""),0,SUMPRODUCT(MAX((Escaleta!$A$5:$A$504=$B$4)*(Escaleta!$H$5:$H$504=C$6)*(Escaleta!$K$5:$K$504&lt;&gt;"Cancelada")*(Escaleta!$C$5:$C$504&lt;$A10+Configuración!$C$7/1440)*(Escaleta!$E$5:$E$504&gt;$A10)*ROW(Escaleta!$A$5:$A$504))))</f>
        <v/>
      </c>
      <c r="N10" s="50">
        <f>IF(OR($A10="",D$6=""),0,SUMPRODUCT(MAX((Escaleta!$A$5:$A$504=$B$4)*(Escaleta!$H$5:$H$504=D$6)*(Escaleta!$K$5:$K$504&lt;&gt;"Cancelada")*(Escaleta!$C$5:$C$504&lt;$A10+Configuración!$C$7/1440)*(Escaleta!$E$5:$E$504&gt;$A10)*ROW(Escaleta!$A$5:$A$504))))</f>
        <v/>
      </c>
      <c r="O10" s="50">
        <f>IF(OR($A10="",E$6=""),0,SUMPRODUCT(MAX((Escaleta!$A$5:$A$504=$B$4)*(Escaleta!$H$5:$H$504=E$6)*(Escaleta!$K$5:$K$504&lt;&gt;"Cancelada")*(Escaleta!$C$5:$C$504&lt;$A10+Configuración!$C$7/1440)*(Escaleta!$E$5:$E$504&gt;$A10)*ROW(Escaleta!$A$5:$A$504))))</f>
        <v/>
      </c>
      <c r="P10" s="50">
        <f>IF(OR($A10="",F$6=""),0,SUMPRODUCT(MAX((Escaleta!$A$5:$A$504=$B$4)*(Escaleta!$H$5:$H$504=F$6)*(Escaleta!$K$5:$K$504&lt;&gt;"Cancelada")*(Escaleta!$C$5:$C$504&lt;$A10+Configuración!$C$7/1440)*(Escaleta!$E$5:$E$504&gt;$A10)*ROW(Escaleta!$A$5:$A$504))))</f>
        <v/>
      </c>
      <c r="Q10" s="50">
        <f>IF(OR($A10="",G$6=""),0,SUMPRODUCT(MAX((Escaleta!$A$5:$A$504=$B$4)*(Escaleta!$H$5:$H$504=G$6)*(Escaleta!$K$5:$K$504&lt;&gt;"Cancelada")*(Escaleta!$C$5:$C$504&lt;$A10+Configuración!$C$7/1440)*(Escaleta!$E$5:$E$504&gt;$A10)*ROW(Escaleta!$A$5:$A$504))))</f>
        <v/>
      </c>
      <c r="R10" s="50">
        <f>IF(OR($A10="",H$6=""),0,SUMPRODUCT(MAX((Escaleta!$A$5:$A$504=$B$4)*(Escaleta!$H$5:$H$504=H$6)*(Escaleta!$K$5:$K$504&lt;&gt;"Cancelada")*(Escaleta!$C$5:$C$504&lt;$A10+Configuración!$C$7/1440)*(Escaleta!$E$5:$E$504&gt;$A10)*ROW(Escaleta!$A$5:$A$504))))</f>
        <v/>
      </c>
      <c r="S10" s="50">
        <f>IF(OR($A10="",I$6=""),0,SUMPRODUCT(MAX((Escaleta!$A$5:$A$504=$B$4)*(Escaleta!$H$5:$H$504=I$6)*(Escaleta!$K$5:$K$504&lt;&gt;"Cancelada")*(Escaleta!$C$5:$C$504&lt;$A10+Configuración!$C$7/1440)*(Escaleta!$E$5:$E$504&gt;$A10)*ROW(Escaleta!$A$5:$A$504))))</f>
        <v/>
      </c>
      <c r="U10" s="50">
        <f>IF(L10=0,"",INDEX(Escaleta!$I$1:$I$504,L10))</f>
        <v/>
      </c>
      <c r="V10" s="50">
        <f>IF(M10=0,"",INDEX(Escaleta!$I$1:$I$504,M10))</f>
        <v/>
      </c>
      <c r="W10" s="50">
        <f>IF(N10=0,"",INDEX(Escaleta!$I$1:$I$504,N10))</f>
        <v/>
      </c>
      <c r="X10" s="50">
        <f>IF(O10=0,"",INDEX(Escaleta!$I$1:$I$504,O10))</f>
        <v/>
      </c>
      <c r="Y10" s="50">
        <f>IF(P10=0,"",INDEX(Escaleta!$I$1:$I$504,P10))</f>
        <v/>
      </c>
      <c r="Z10" s="50">
        <f>IF(Q10=0,"",INDEX(Escaleta!$I$1:$I$504,Q10))</f>
        <v/>
      </c>
      <c r="AA10" s="50">
        <f>IF(R10=0,"",INDEX(Escaleta!$I$1:$I$504,R10))</f>
        <v/>
      </c>
      <c r="AB10" s="50">
        <f>IF(S10=0,"",INDEX(Escaleta!$I$1:$I$504,S10))</f>
        <v/>
      </c>
    </row>
    <row r="11" ht="18" customHeight="1">
      <c r="A11" s="48">
        <f>IF(A10="","",IF(A10+Configuración!$C$7/1440&gt;Configuración!$C$6-0.0001,"",A10+Configuración!$C$7/1440))</f>
        <v/>
      </c>
      <c r="B11" s="49">
        <f>IF(L11=0,"",IF(L11&lt;&gt;L10,INDEX(Escaleta!$F$1:$F$504,L11),IF(L11&lt;&gt;L9,TEXT(INDEX(Escaleta!$C$1:$C$504,L11),"hh:mm")&amp;"–"&amp;TEXT(INDEX(Escaleta!$E$1:$E$504,L11),"hh:mm"),"")))</f>
        <v/>
      </c>
      <c r="C11" s="49">
        <f>IF(M11=0,"",IF(M11&lt;&gt;M10,INDEX(Escaleta!$F$1:$F$504,M11),IF(M11&lt;&gt;M9,TEXT(INDEX(Escaleta!$C$1:$C$504,M11),"hh:mm")&amp;"–"&amp;TEXT(INDEX(Escaleta!$E$1:$E$504,M11),"hh:mm"),"")))</f>
        <v/>
      </c>
      <c r="D11" s="49">
        <f>IF(N11=0,"",IF(N11&lt;&gt;N10,INDEX(Escaleta!$F$1:$F$504,N11),IF(N11&lt;&gt;N9,TEXT(INDEX(Escaleta!$C$1:$C$504,N11),"hh:mm")&amp;"–"&amp;TEXT(INDEX(Escaleta!$E$1:$E$504,N11),"hh:mm"),"")))</f>
        <v/>
      </c>
      <c r="E11" s="49">
        <f>IF(O11=0,"",IF(O11&lt;&gt;O10,INDEX(Escaleta!$F$1:$F$504,O11),IF(O11&lt;&gt;O9,TEXT(INDEX(Escaleta!$C$1:$C$504,O11),"hh:mm")&amp;"–"&amp;TEXT(INDEX(Escaleta!$E$1:$E$504,O11),"hh:mm"),"")))</f>
        <v/>
      </c>
      <c r="F11" s="49">
        <f>IF(P11=0,"",IF(P11&lt;&gt;P10,INDEX(Escaleta!$F$1:$F$504,P11),IF(P11&lt;&gt;P9,TEXT(INDEX(Escaleta!$C$1:$C$504,P11),"hh:mm")&amp;"–"&amp;TEXT(INDEX(Escaleta!$E$1:$E$504,P11),"hh:mm"),"")))</f>
        <v/>
      </c>
      <c r="G11" s="49">
        <f>IF(Q11=0,"",IF(Q11&lt;&gt;Q10,INDEX(Escaleta!$F$1:$F$504,Q11),IF(Q11&lt;&gt;Q9,TEXT(INDEX(Escaleta!$C$1:$C$504,Q11),"hh:mm")&amp;"–"&amp;TEXT(INDEX(Escaleta!$E$1:$E$504,Q11),"hh:mm"),"")))</f>
        <v/>
      </c>
      <c r="H11" s="49">
        <f>IF(R11=0,"",IF(R11&lt;&gt;R10,INDEX(Escaleta!$F$1:$F$504,R11),IF(R11&lt;&gt;R9,TEXT(INDEX(Escaleta!$C$1:$C$504,R11),"hh:mm")&amp;"–"&amp;TEXT(INDEX(Escaleta!$E$1:$E$504,R11),"hh:mm"),"")))</f>
        <v/>
      </c>
      <c r="I11" s="49">
        <f>IF(S11=0,"",IF(S11&lt;&gt;S10,INDEX(Escaleta!$F$1:$F$504,S11),IF(S11&lt;&gt;S9,TEXT(INDEX(Escaleta!$C$1:$C$504,S11),"hh:mm")&amp;"–"&amp;TEXT(INDEX(Escaleta!$E$1:$E$504,S11),"hh:mm"),"")))</f>
        <v/>
      </c>
      <c r="L11" s="50">
        <f>IF(OR($A11="",B$6=""),0,SUMPRODUCT(MAX((Escaleta!$A$5:$A$504=$B$4)*(Escaleta!$H$5:$H$504=B$6)*(Escaleta!$K$5:$K$504&lt;&gt;"Cancelada")*(Escaleta!$C$5:$C$504&lt;$A11+Configuración!$C$7/1440)*(Escaleta!$E$5:$E$504&gt;$A11)*ROW(Escaleta!$A$5:$A$504))))</f>
        <v/>
      </c>
      <c r="M11" s="50">
        <f>IF(OR($A11="",C$6=""),0,SUMPRODUCT(MAX((Escaleta!$A$5:$A$504=$B$4)*(Escaleta!$H$5:$H$504=C$6)*(Escaleta!$K$5:$K$504&lt;&gt;"Cancelada")*(Escaleta!$C$5:$C$504&lt;$A11+Configuración!$C$7/1440)*(Escaleta!$E$5:$E$504&gt;$A11)*ROW(Escaleta!$A$5:$A$504))))</f>
        <v/>
      </c>
      <c r="N11" s="50">
        <f>IF(OR($A11="",D$6=""),0,SUMPRODUCT(MAX((Escaleta!$A$5:$A$504=$B$4)*(Escaleta!$H$5:$H$504=D$6)*(Escaleta!$K$5:$K$504&lt;&gt;"Cancelada")*(Escaleta!$C$5:$C$504&lt;$A11+Configuración!$C$7/1440)*(Escaleta!$E$5:$E$504&gt;$A11)*ROW(Escaleta!$A$5:$A$504))))</f>
        <v/>
      </c>
      <c r="O11" s="50">
        <f>IF(OR($A11="",E$6=""),0,SUMPRODUCT(MAX((Escaleta!$A$5:$A$504=$B$4)*(Escaleta!$H$5:$H$504=E$6)*(Escaleta!$K$5:$K$504&lt;&gt;"Cancelada")*(Escaleta!$C$5:$C$504&lt;$A11+Configuración!$C$7/1440)*(Escaleta!$E$5:$E$504&gt;$A11)*ROW(Escaleta!$A$5:$A$504))))</f>
        <v/>
      </c>
      <c r="P11" s="50">
        <f>IF(OR($A11="",F$6=""),0,SUMPRODUCT(MAX((Escaleta!$A$5:$A$504=$B$4)*(Escaleta!$H$5:$H$504=F$6)*(Escaleta!$K$5:$K$504&lt;&gt;"Cancelada")*(Escaleta!$C$5:$C$504&lt;$A11+Configuración!$C$7/1440)*(Escaleta!$E$5:$E$504&gt;$A11)*ROW(Escaleta!$A$5:$A$504))))</f>
        <v/>
      </c>
      <c r="Q11" s="50">
        <f>IF(OR($A11="",G$6=""),0,SUMPRODUCT(MAX((Escaleta!$A$5:$A$504=$B$4)*(Escaleta!$H$5:$H$504=G$6)*(Escaleta!$K$5:$K$504&lt;&gt;"Cancelada")*(Escaleta!$C$5:$C$504&lt;$A11+Configuración!$C$7/1440)*(Escaleta!$E$5:$E$504&gt;$A11)*ROW(Escaleta!$A$5:$A$504))))</f>
        <v/>
      </c>
      <c r="R11" s="50">
        <f>IF(OR($A11="",H$6=""),0,SUMPRODUCT(MAX((Escaleta!$A$5:$A$504=$B$4)*(Escaleta!$H$5:$H$504=H$6)*(Escaleta!$K$5:$K$504&lt;&gt;"Cancelada")*(Escaleta!$C$5:$C$504&lt;$A11+Configuración!$C$7/1440)*(Escaleta!$E$5:$E$504&gt;$A11)*ROW(Escaleta!$A$5:$A$504))))</f>
        <v/>
      </c>
      <c r="S11" s="50">
        <f>IF(OR($A11="",I$6=""),0,SUMPRODUCT(MAX((Escaleta!$A$5:$A$504=$B$4)*(Escaleta!$H$5:$H$504=I$6)*(Escaleta!$K$5:$K$504&lt;&gt;"Cancelada")*(Escaleta!$C$5:$C$504&lt;$A11+Configuración!$C$7/1440)*(Escaleta!$E$5:$E$504&gt;$A11)*ROW(Escaleta!$A$5:$A$504))))</f>
        <v/>
      </c>
      <c r="U11" s="50">
        <f>IF(L11=0,"",INDEX(Escaleta!$I$1:$I$504,L11))</f>
        <v/>
      </c>
      <c r="V11" s="50">
        <f>IF(M11=0,"",INDEX(Escaleta!$I$1:$I$504,M11))</f>
        <v/>
      </c>
      <c r="W11" s="50">
        <f>IF(N11=0,"",INDEX(Escaleta!$I$1:$I$504,N11))</f>
        <v/>
      </c>
      <c r="X11" s="50">
        <f>IF(O11=0,"",INDEX(Escaleta!$I$1:$I$504,O11))</f>
        <v/>
      </c>
      <c r="Y11" s="50">
        <f>IF(P11=0,"",INDEX(Escaleta!$I$1:$I$504,P11))</f>
        <v/>
      </c>
      <c r="Z11" s="50">
        <f>IF(Q11=0,"",INDEX(Escaleta!$I$1:$I$504,Q11))</f>
        <v/>
      </c>
      <c r="AA11" s="50">
        <f>IF(R11=0,"",INDEX(Escaleta!$I$1:$I$504,R11))</f>
        <v/>
      </c>
      <c r="AB11" s="50">
        <f>IF(S11=0,"",INDEX(Escaleta!$I$1:$I$504,S11))</f>
        <v/>
      </c>
    </row>
    <row r="12" ht="18" customHeight="1">
      <c r="A12" s="48">
        <f>IF(A11="","",IF(A11+Configuración!$C$7/1440&gt;Configuración!$C$6-0.0001,"",A11+Configuración!$C$7/1440))</f>
        <v/>
      </c>
      <c r="B12" s="49">
        <f>IF(L12=0,"",IF(L12&lt;&gt;L11,INDEX(Escaleta!$F$1:$F$504,L12),IF(L12&lt;&gt;L10,TEXT(INDEX(Escaleta!$C$1:$C$504,L12),"hh:mm")&amp;"–"&amp;TEXT(INDEX(Escaleta!$E$1:$E$504,L12),"hh:mm"),"")))</f>
        <v/>
      </c>
      <c r="C12" s="49">
        <f>IF(M12=0,"",IF(M12&lt;&gt;M11,INDEX(Escaleta!$F$1:$F$504,M12),IF(M12&lt;&gt;M10,TEXT(INDEX(Escaleta!$C$1:$C$504,M12),"hh:mm")&amp;"–"&amp;TEXT(INDEX(Escaleta!$E$1:$E$504,M12),"hh:mm"),"")))</f>
        <v/>
      </c>
      <c r="D12" s="49">
        <f>IF(N12=0,"",IF(N12&lt;&gt;N11,INDEX(Escaleta!$F$1:$F$504,N12),IF(N12&lt;&gt;N10,TEXT(INDEX(Escaleta!$C$1:$C$504,N12),"hh:mm")&amp;"–"&amp;TEXT(INDEX(Escaleta!$E$1:$E$504,N12),"hh:mm"),"")))</f>
        <v/>
      </c>
      <c r="E12" s="49">
        <f>IF(O12=0,"",IF(O12&lt;&gt;O11,INDEX(Escaleta!$F$1:$F$504,O12),IF(O12&lt;&gt;O10,TEXT(INDEX(Escaleta!$C$1:$C$504,O12),"hh:mm")&amp;"–"&amp;TEXT(INDEX(Escaleta!$E$1:$E$504,O12),"hh:mm"),"")))</f>
        <v/>
      </c>
      <c r="F12" s="49">
        <f>IF(P12=0,"",IF(P12&lt;&gt;P11,INDEX(Escaleta!$F$1:$F$504,P12),IF(P12&lt;&gt;P10,TEXT(INDEX(Escaleta!$C$1:$C$504,P12),"hh:mm")&amp;"–"&amp;TEXT(INDEX(Escaleta!$E$1:$E$504,P12),"hh:mm"),"")))</f>
        <v/>
      </c>
      <c r="G12" s="49">
        <f>IF(Q12=0,"",IF(Q12&lt;&gt;Q11,INDEX(Escaleta!$F$1:$F$504,Q12),IF(Q12&lt;&gt;Q10,TEXT(INDEX(Escaleta!$C$1:$C$504,Q12),"hh:mm")&amp;"–"&amp;TEXT(INDEX(Escaleta!$E$1:$E$504,Q12),"hh:mm"),"")))</f>
        <v/>
      </c>
      <c r="H12" s="49">
        <f>IF(R12=0,"",IF(R12&lt;&gt;R11,INDEX(Escaleta!$F$1:$F$504,R12),IF(R12&lt;&gt;R10,TEXT(INDEX(Escaleta!$C$1:$C$504,R12),"hh:mm")&amp;"–"&amp;TEXT(INDEX(Escaleta!$E$1:$E$504,R12),"hh:mm"),"")))</f>
        <v/>
      </c>
      <c r="I12" s="49">
        <f>IF(S12=0,"",IF(S12&lt;&gt;S11,INDEX(Escaleta!$F$1:$F$504,S12),IF(S12&lt;&gt;S10,TEXT(INDEX(Escaleta!$C$1:$C$504,S12),"hh:mm")&amp;"–"&amp;TEXT(INDEX(Escaleta!$E$1:$E$504,S12),"hh:mm"),"")))</f>
        <v/>
      </c>
      <c r="L12" s="50">
        <f>IF(OR($A12="",B$6=""),0,SUMPRODUCT(MAX((Escaleta!$A$5:$A$504=$B$4)*(Escaleta!$H$5:$H$504=B$6)*(Escaleta!$K$5:$K$504&lt;&gt;"Cancelada")*(Escaleta!$C$5:$C$504&lt;$A12+Configuración!$C$7/1440)*(Escaleta!$E$5:$E$504&gt;$A12)*ROW(Escaleta!$A$5:$A$504))))</f>
        <v/>
      </c>
      <c r="M12" s="50">
        <f>IF(OR($A12="",C$6=""),0,SUMPRODUCT(MAX((Escaleta!$A$5:$A$504=$B$4)*(Escaleta!$H$5:$H$504=C$6)*(Escaleta!$K$5:$K$504&lt;&gt;"Cancelada")*(Escaleta!$C$5:$C$504&lt;$A12+Configuración!$C$7/1440)*(Escaleta!$E$5:$E$504&gt;$A12)*ROW(Escaleta!$A$5:$A$504))))</f>
        <v/>
      </c>
      <c r="N12" s="50">
        <f>IF(OR($A12="",D$6=""),0,SUMPRODUCT(MAX((Escaleta!$A$5:$A$504=$B$4)*(Escaleta!$H$5:$H$504=D$6)*(Escaleta!$K$5:$K$504&lt;&gt;"Cancelada")*(Escaleta!$C$5:$C$504&lt;$A12+Configuración!$C$7/1440)*(Escaleta!$E$5:$E$504&gt;$A12)*ROW(Escaleta!$A$5:$A$504))))</f>
        <v/>
      </c>
      <c r="O12" s="50">
        <f>IF(OR($A12="",E$6=""),0,SUMPRODUCT(MAX((Escaleta!$A$5:$A$504=$B$4)*(Escaleta!$H$5:$H$504=E$6)*(Escaleta!$K$5:$K$504&lt;&gt;"Cancelada")*(Escaleta!$C$5:$C$504&lt;$A12+Configuración!$C$7/1440)*(Escaleta!$E$5:$E$504&gt;$A12)*ROW(Escaleta!$A$5:$A$504))))</f>
        <v/>
      </c>
      <c r="P12" s="50">
        <f>IF(OR($A12="",F$6=""),0,SUMPRODUCT(MAX((Escaleta!$A$5:$A$504=$B$4)*(Escaleta!$H$5:$H$504=F$6)*(Escaleta!$K$5:$K$504&lt;&gt;"Cancelada")*(Escaleta!$C$5:$C$504&lt;$A12+Configuración!$C$7/1440)*(Escaleta!$E$5:$E$504&gt;$A12)*ROW(Escaleta!$A$5:$A$504))))</f>
        <v/>
      </c>
      <c r="Q12" s="50">
        <f>IF(OR($A12="",G$6=""),0,SUMPRODUCT(MAX((Escaleta!$A$5:$A$504=$B$4)*(Escaleta!$H$5:$H$504=G$6)*(Escaleta!$K$5:$K$504&lt;&gt;"Cancelada")*(Escaleta!$C$5:$C$504&lt;$A12+Configuración!$C$7/1440)*(Escaleta!$E$5:$E$504&gt;$A12)*ROW(Escaleta!$A$5:$A$504))))</f>
        <v/>
      </c>
      <c r="R12" s="50">
        <f>IF(OR($A12="",H$6=""),0,SUMPRODUCT(MAX((Escaleta!$A$5:$A$504=$B$4)*(Escaleta!$H$5:$H$504=H$6)*(Escaleta!$K$5:$K$504&lt;&gt;"Cancelada")*(Escaleta!$C$5:$C$504&lt;$A12+Configuración!$C$7/1440)*(Escaleta!$E$5:$E$504&gt;$A12)*ROW(Escaleta!$A$5:$A$504))))</f>
        <v/>
      </c>
      <c r="S12" s="50">
        <f>IF(OR($A12="",I$6=""),0,SUMPRODUCT(MAX((Escaleta!$A$5:$A$504=$B$4)*(Escaleta!$H$5:$H$504=I$6)*(Escaleta!$K$5:$K$504&lt;&gt;"Cancelada")*(Escaleta!$C$5:$C$504&lt;$A12+Configuración!$C$7/1440)*(Escaleta!$E$5:$E$504&gt;$A12)*ROW(Escaleta!$A$5:$A$504))))</f>
        <v/>
      </c>
      <c r="U12" s="50">
        <f>IF(L12=0,"",INDEX(Escaleta!$I$1:$I$504,L12))</f>
        <v/>
      </c>
      <c r="V12" s="50">
        <f>IF(M12=0,"",INDEX(Escaleta!$I$1:$I$504,M12))</f>
        <v/>
      </c>
      <c r="W12" s="50">
        <f>IF(N12=0,"",INDEX(Escaleta!$I$1:$I$504,N12))</f>
        <v/>
      </c>
      <c r="X12" s="50">
        <f>IF(O12=0,"",INDEX(Escaleta!$I$1:$I$504,O12))</f>
        <v/>
      </c>
      <c r="Y12" s="50">
        <f>IF(P12=0,"",INDEX(Escaleta!$I$1:$I$504,P12))</f>
        <v/>
      </c>
      <c r="Z12" s="50">
        <f>IF(Q12=0,"",INDEX(Escaleta!$I$1:$I$504,Q12))</f>
        <v/>
      </c>
      <c r="AA12" s="50">
        <f>IF(R12=0,"",INDEX(Escaleta!$I$1:$I$504,R12))</f>
        <v/>
      </c>
      <c r="AB12" s="50">
        <f>IF(S12=0,"",INDEX(Escaleta!$I$1:$I$504,S12))</f>
        <v/>
      </c>
    </row>
    <row r="13" ht="18" customHeight="1">
      <c r="A13" s="48">
        <f>IF(A12="","",IF(A12+Configuración!$C$7/1440&gt;Configuración!$C$6-0.0001,"",A12+Configuración!$C$7/1440))</f>
        <v/>
      </c>
      <c r="B13" s="49">
        <f>IF(L13=0,"",IF(L13&lt;&gt;L12,INDEX(Escaleta!$F$1:$F$504,L13),IF(L13&lt;&gt;L11,TEXT(INDEX(Escaleta!$C$1:$C$504,L13),"hh:mm")&amp;"–"&amp;TEXT(INDEX(Escaleta!$E$1:$E$504,L13),"hh:mm"),"")))</f>
        <v/>
      </c>
      <c r="C13" s="49">
        <f>IF(M13=0,"",IF(M13&lt;&gt;M12,INDEX(Escaleta!$F$1:$F$504,M13),IF(M13&lt;&gt;M11,TEXT(INDEX(Escaleta!$C$1:$C$504,M13),"hh:mm")&amp;"–"&amp;TEXT(INDEX(Escaleta!$E$1:$E$504,M13),"hh:mm"),"")))</f>
        <v/>
      </c>
      <c r="D13" s="49">
        <f>IF(N13=0,"",IF(N13&lt;&gt;N12,INDEX(Escaleta!$F$1:$F$504,N13),IF(N13&lt;&gt;N11,TEXT(INDEX(Escaleta!$C$1:$C$504,N13),"hh:mm")&amp;"–"&amp;TEXT(INDEX(Escaleta!$E$1:$E$504,N13),"hh:mm"),"")))</f>
        <v/>
      </c>
      <c r="E13" s="49">
        <f>IF(O13=0,"",IF(O13&lt;&gt;O12,INDEX(Escaleta!$F$1:$F$504,O13),IF(O13&lt;&gt;O11,TEXT(INDEX(Escaleta!$C$1:$C$504,O13),"hh:mm")&amp;"–"&amp;TEXT(INDEX(Escaleta!$E$1:$E$504,O13),"hh:mm"),"")))</f>
        <v/>
      </c>
      <c r="F13" s="49">
        <f>IF(P13=0,"",IF(P13&lt;&gt;P12,INDEX(Escaleta!$F$1:$F$504,P13),IF(P13&lt;&gt;P11,TEXT(INDEX(Escaleta!$C$1:$C$504,P13),"hh:mm")&amp;"–"&amp;TEXT(INDEX(Escaleta!$E$1:$E$504,P13),"hh:mm"),"")))</f>
        <v/>
      </c>
      <c r="G13" s="49">
        <f>IF(Q13=0,"",IF(Q13&lt;&gt;Q12,INDEX(Escaleta!$F$1:$F$504,Q13),IF(Q13&lt;&gt;Q11,TEXT(INDEX(Escaleta!$C$1:$C$504,Q13),"hh:mm")&amp;"–"&amp;TEXT(INDEX(Escaleta!$E$1:$E$504,Q13),"hh:mm"),"")))</f>
        <v/>
      </c>
      <c r="H13" s="49">
        <f>IF(R13=0,"",IF(R13&lt;&gt;R12,INDEX(Escaleta!$F$1:$F$504,R13),IF(R13&lt;&gt;R11,TEXT(INDEX(Escaleta!$C$1:$C$504,R13),"hh:mm")&amp;"–"&amp;TEXT(INDEX(Escaleta!$E$1:$E$504,R13),"hh:mm"),"")))</f>
        <v/>
      </c>
      <c r="I13" s="49">
        <f>IF(S13=0,"",IF(S13&lt;&gt;S12,INDEX(Escaleta!$F$1:$F$504,S13),IF(S13&lt;&gt;S11,TEXT(INDEX(Escaleta!$C$1:$C$504,S13),"hh:mm")&amp;"–"&amp;TEXT(INDEX(Escaleta!$E$1:$E$504,S13),"hh:mm"),"")))</f>
        <v/>
      </c>
      <c r="L13" s="50">
        <f>IF(OR($A13="",B$6=""),0,SUMPRODUCT(MAX((Escaleta!$A$5:$A$504=$B$4)*(Escaleta!$H$5:$H$504=B$6)*(Escaleta!$K$5:$K$504&lt;&gt;"Cancelada")*(Escaleta!$C$5:$C$504&lt;$A13+Configuración!$C$7/1440)*(Escaleta!$E$5:$E$504&gt;$A13)*ROW(Escaleta!$A$5:$A$504))))</f>
        <v/>
      </c>
      <c r="M13" s="50">
        <f>IF(OR($A13="",C$6=""),0,SUMPRODUCT(MAX((Escaleta!$A$5:$A$504=$B$4)*(Escaleta!$H$5:$H$504=C$6)*(Escaleta!$K$5:$K$504&lt;&gt;"Cancelada")*(Escaleta!$C$5:$C$504&lt;$A13+Configuración!$C$7/1440)*(Escaleta!$E$5:$E$504&gt;$A13)*ROW(Escaleta!$A$5:$A$504))))</f>
        <v/>
      </c>
      <c r="N13" s="50">
        <f>IF(OR($A13="",D$6=""),0,SUMPRODUCT(MAX((Escaleta!$A$5:$A$504=$B$4)*(Escaleta!$H$5:$H$504=D$6)*(Escaleta!$K$5:$K$504&lt;&gt;"Cancelada")*(Escaleta!$C$5:$C$504&lt;$A13+Configuración!$C$7/1440)*(Escaleta!$E$5:$E$504&gt;$A13)*ROW(Escaleta!$A$5:$A$504))))</f>
        <v/>
      </c>
      <c r="O13" s="50">
        <f>IF(OR($A13="",E$6=""),0,SUMPRODUCT(MAX((Escaleta!$A$5:$A$504=$B$4)*(Escaleta!$H$5:$H$504=E$6)*(Escaleta!$K$5:$K$504&lt;&gt;"Cancelada")*(Escaleta!$C$5:$C$504&lt;$A13+Configuración!$C$7/1440)*(Escaleta!$E$5:$E$504&gt;$A13)*ROW(Escaleta!$A$5:$A$504))))</f>
        <v/>
      </c>
      <c r="P13" s="50">
        <f>IF(OR($A13="",F$6=""),0,SUMPRODUCT(MAX((Escaleta!$A$5:$A$504=$B$4)*(Escaleta!$H$5:$H$504=F$6)*(Escaleta!$K$5:$K$504&lt;&gt;"Cancelada")*(Escaleta!$C$5:$C$504&lt;$A13+Configuración!$C$7/1440)*(Escaleta!$E$5:$E$504&gt;$A13)*ROW(Escaleta!$A$5:$A$504))))</f>
        <v/>
      </c>
      <c r="Q13" s="50">
        <f>IF(OR($A13="",G$6=""),0,SUMPRODUCT(MAX((Escaleta!$A$5:$A$504=$B$4)*(Escaleta!$H$5:$H$504=G$6)*(Escaleta!$K$5:$K$504&lt;&gt;"Cancelada")*(Escaleta!$C$5:$C$504&lt;$A13+Configuración!$C$7/1440)*(Escaleta!$E$5:$E$504&gt;$A13)*ROW(Escaleta!$A$5:$A$504))))</f>
        <v/>
      </c>
      <c r="R13" s="50">
        <f>IF(OR($A13="",H$6=""),0,SUMPRODUCT(MAX((Escaleta!$A$5:$A$504=$B$4)*(Escaleta!$H$5:$H$504=H$6)*(Escaleta!$K$5:$K$504&lt;&gt;"Cancelada")*(Escaleta!$C$5:$C$504&lt;$A13+Configuración!$C$7/1440)*(Escaleta!$E$5:$E$504&gt;$A13)*ROW(Escaleta!$A$5:$A$504))))</f>
        <v/>
      </c>
      <c r="S13" s="50">
        <f>IF(OR($A13="",I$6=""),0,SUMPRODUCT(MAX((Escaleta!$A$5:$A$504=$B$4)*(Escaleta!$H$5:$H$504=I$6)*(Escaleta!$K$5:$K$504&lt;&gt;"Cancelada")*(Escaleta!$C$5:$C$504&lt;$A13+Configuración!$C$7/1440)*(Escaleta!$E$5:$E$504&gt;$A13)*ROW(Escaleta!$A$5:$A$504))))</f>
        <v/>
      </c>
      <c r="U13" s="50">
        <f>IF(L13=0,"",INDEX(Escaleta!$I$1:$I$504,L13))</f>
        <v/>
      </c>
      <c r="V13" s="50">
        <f>IF(M13=0,"",INDEX(Escaleta!$I$1:$I$504,M13))</f>
        <v/>
      </c>
      <c r="W13" s="50">
        <f>IF(N13=0,"",INDEX(Escaleta!$I$1:$I$504,N13))</f>
        <v/>
      </c>
      <c r="X13" s="50">
        <f>IF(O13=0,"",INDEX(Escaleta!$I$1:$I$504,O13))</f>
        <v/>
      </c>
      <c r="Y13" s="50">
        <f>IF(P13=0,"",INDEX(Escaleta!$I$1:$I$504,P13))</f>
        <v/>
      </c>
      <c r="Z13" s="50">
        <f>IF(Q13=0,"",INDEX(Escaleta!$I$1:$I$504,Q13))</f>
        <v/>
      </c>
      <c r="AA13" s="50">
        <f>IF(R13=0,"",INDEX(Escaleta!$I$1:$I$504,R13))</f>
        <v/>
      </c>
      <c r="AB13" s="50">
        <f>IF(S13=0,"",INDEX(Escaleta!$I$1:$I$504,S13))</f>
        <v/>
      </c>
    </row>
    <row r="14" ht="18" customHeight="1">
      <c r="A14" s="48">
        <f>IF(A13="","",IF(A13+Configuración!$C$7/1440&gt;Configuración!$C$6-0.0001,"",A13+Configuración!$C$7/1440))</f>
        <v/>
      </c>
      <c r="B14" s="49">
        <f>IF(L14=0,"",IF(L14&lt;&gt;L13,INDEX(Escaleta!$F$1:$F$504,L14),IF(L14&lt;&gt;L12,TEXT(INDEX(Escaleta!$C$1:$C$504,L14),"hh:mm")&amp;"–"&amp;TEXT(INDEX(Escaleta!$E$1:$E$504,L14),"hh:mm"),"")))</f>
        <v/>
      </c>
      <c r="C14" s="49">
        <f>IF(M14=0,"",IF(M14&lt;&gt;M13,INDEX(Escaleta!$F$1:$F$504,M14),IF(M14&lt;&gt;M12,TEXT(INDEX(Escaleta!$C$1:$C$504,M14),"hh:mm")&amp;"–"&amp;TEXT(INDEX(Escaleta!$E$1:$E$504,M14),"hh:mm"),"")))</f>
        <v/>
      </c>
      <c r="D14" s="49">
        <f>IF(N14=0,"",IF(N14&lt;&gt;N13,INDEX(Escaleta!$F$1:$F$504,N14),IF(N14&lt;&gt;N12,TEXT(INDEX(Escaleta!$C$1:$C$504,N14),"hh:mm")&amp;"–"&amp;TEXT(INDEX(Escaleta!$E$1:$E$504,N14),"hh:mm"),"")))</f>
        <v/>
      </c>
      <c r="E14" s="49">
        <f>IF(O14=0,"",IF(O14&lt;&gt;O13,INDEX(Escaleta!$F$1:$F$504,O14),IF(O14&lt;&gt;O12,TEXT(INDEX(Escaleta!$C$1:$C$504,O14),"hh:mm")&amp;"–"&amp;TEXT(INDEX(Escaleta!$E$1:$E$504,O14),"hh:mm"),"")))</f>
        <v/>
      </c>
      <c r="F14" s="49">
        <f>IF(P14=0,"",IF(P14&lt;&gt;P13,INDEX(Escaleta!$F$1:$F$504,P14),IF(P14&lt;&gt;P12,TEXT(INDEX(Escaleta!$C$1:$C$504,P14),"hh:mm")&amp;"–"&amp;TEXT(INDEX(Escaleta!$E$1:$E$504,P14),"hh:mm"),"")))</f>
        <v/>
      </c>
      <c r="G14" s="49">
        <f>IF(Q14=0,"",IF(Q14&lt;&gt;Q13,INDEX(Escaleta!$F$1:$F$504,Q14),IF(Q14&lt;&gt;Q12,TEXT(INDEX(Escaleta!$C$1:$C$504,Q14),"hh:mm")&amp;"–"&amp;TEXT(INDEX(Escaleta!$E$1:$E$504,Q14),"hh:mm"),"")))</f>
        <v/>
      </c>
      <c r="H14" s="49">
        <f>IF(R14=0,"",IF(R14&lt;&gt;R13,INDEX(Escaleta!$F$1:$F$504,R14),IF(R14&lt;&gt;R12,TEXT(INDEX(Escaleta!$C$1:$C$504,R14),"hh:mm")&amp;"–"&amp;TEXT(INDEX(Escaleta!$E$1:$E$504,R14),"hh:mm"),"")))</f>
        <v/>
      </c>
      <c r="I14" s="49">
        <f>IF(S14=0,"",IF(S14&lt;&gt;S13,INDEX(Escaleta!$F$1:$F$504,S14),IF(S14&lt;&gt;S12,TEXT(INDEX(Escaleta!$C$1:$C$504,S14),"hh:mm")&amp;"–"&amp;TEXT(INDEX(Escaleta!$E$1:$E$504,S14),"hh:mm"),"")))</f>
        <v/>
      </c>
      <c r="L14" s="50">
        <f>IF(OR($A14="",B$6=""),0,SUMPRODUCT(MAX((Escaleta!$A$5:$A$504=$B$4)*(Escaleta!$H$5:$H$504=B$6)*(Escaleta!$K$5:$K$504&lt;&gt;"Cancelada")*(Escaleta!$C$5:$C$504&lt;$A14+Configuración!$C$7/1440)*(Escaleta!$E$5:$E$504&gt;$A14)*ROW(Escaleta!$A$5:$A$504))))</f>
        <v/>
      </c>
      <c r="M14" s="50">
        <f>IF(OR($A14="",C$6=""),0,SUMPRODUCT(MAX((Escaleta!$A$5:$A$504=$B$4)*(Escaleta!$H$5:$H$504=C$6)*(Escaleta!$K$5:$K$504&lt;&gt;"Cancelada")*(Escaleta!$C$5:$C$504&lt;$A14+Configuración!$C$7/1440)*(Escaleta!$E$5:$E$504&gt;$A14)*ROW(Escaleta!$A$5:$A$504))))</f>
        <v/>
      </c>
      <c r="N14" s="50">
        <f>IF(OR($A14="",D$6=""),0,SUMPRODUCT(MAX((Escaleta!$A$5:$A$504=$B$4)*(Escaleta!$H$5:$H$504=D$6)*(Escaleta!$K$5:$K$504&lt;&gt;"Cancelada")*(Escaleta!$C$5:$C$504&lt;$A14+Configuración!$C$7/1440)*(Escaleta!$E$5:$E$504&gt;$A14)*ROW(Escaleta!$A$5:$A$504))))</f>
        <v/>
      </c>
      <c r="O14" s="50">
        <f>IF(OR($A14="",E$6=""),0,SUMPRODUCT(MAX((Escaleta!$A$5:$A$504=$B$4)*(Escaleta!$H$5:$H$504=E$6)*(Escaleta!$K$5:$K$504&lt;&gt;"Cancelada")*(Escaleta!$C$5:$C$504&lt;$A14+Configuración!$C$7/1440)*(Escaleta!$E$5:$E$504&gt;$A14)*ROW(Escaleta!$A$5:$A$504))))</f>
        <v/>
      </c>
      <c r="P14" s="50">
        <f>IF(OR($A14="",F$6=""),0,SUMPRODUCT(MAX((Escaleta!$A$5:$A$504=$B$4)*(Escaleta!$H$5:$H$504=F$6)*(Escaleta!$K$5:$K$504&lt;&gt;"Cancelada")*(Escaleta!$C$5:$C$504&lt;$A14+Configuración!$C$7/1440)*(Escaleta!$E$5:$E$504&gt;$A14)*ROW(Escaleta!$A$5:$A$504))))</f>
        <v/>
      </c>
      <c r="Q14" s="50">
        <f>IF(OR($A14="",G$6=""),0,SUMPRODUCT(MAX((Escaleta!$A$5:$A$504=$B$4)*(Escaleta!$H$5:$H$504=G$6)*(Escaleta!$K$5:$K$504&lt;&gt;"Cancelada")*(Escaleta!$C$5:$C$504&lt;$A14+Configuración!$C$7/1440)*(Escaleta!$E$5:$E$504&gt;$A14)*ROW(Escaleta!$A$5:$A$504))))</f>
        <v/>
      </c>
      <c r="R14" s="50">
        <f>IF(OR($A14="",H$6=""),0,SUMPRODUCT(MAX((Escaleta!$A$5:$A$504=$B$4)*(Escaleta!$H$5:$H$504=H$6)*(Escaleta!$K$5:$K$504&lt;&gt;"Cancelada")*(Escaleta!$C$5:$C$504&lt;$A14+Configuración!$C$7/1440)*(Escaleta!$E$5:$E$504&gt;$A14)*ROW(Escaleta!$A$5:$A$504))))</f>
        <v/>
      </c>
      <c r="S14" s="50">
        <f>IF(OR($A14="",I$6=""),0,SUMPRODUCT(MAX((Escaleta!$A$5:$A$504=$B$4)*(Escaleta!$H$5:$H$504=I$6)*(Escaleta!$K$5:$K$504&lt;&gt;"Cancelada")*(Escaleta!$C$5:$C$504&lt;$A14+Configuración!$C$7/1440)*(Escaleta!$E$5:$E$504&gt;$A14)*ROW(Escaleta!$A$5:$A$504))))</f>
        <v/>
      </c>
      <c r="U14" s="50">
        <f>IF(L14=0,"",INDEX(Escaleta!$I$1:$I$504,L14))</f>
        <v/>
      </c>
      <c r="V14" s="50">
        <f>IF(M14=0,"",INDEX(Escaleta!$I$1:$I$504,M14))</f>
        <v/>
      </c>
      <c r="W14" s="50">
        <f>IF(N14=0,"",INDEX(Escaleta!$I$1:$I$504,N14))</f>
        <v/>
      </c>
      <c r="X14" s="50">
        <f>IF(O14=0,"",INDEX(Escaleta!$I$1:$I$504,O14))</f>
        <v/>
      </c>
      <c r="Y14" s="50">
        <f>IF(P14=0,"",INDEX(Escaleta!$I$1:$I$504,P14))</f>
        <v/>
      </c>
      <c r="Z14" s="50">
        <f>IF(Q14=0,"",INDEX(Escaleta!$I$1:$I$504,Q14))</f>
        <v/>
      </c>
      <c r="AA14" s="50">
        <f>IF(R14=0,"",INDEX(Escaleta!$I$1:$I$504,R14))</f>
        <v/>
      </c>
      <c r="AB14" s="50">
        <f>IF(S14=0,"",INDEX(Escaleta!$I$1:$I$504,S14))</f>
        <v/>
      </c>
    </row>
    <row r="15" ht="18" customHeight="1">
      <c r="A15" s="48">
        <f>IF(A14="","",IF(A14+Configuración!$C$7/1440&gt;Configuración!$C$6-0.0001,"",A14+Configuración!$C$7/1440))</f>
        <v/>
      </c>
      <c r="B15" s="49">
        <f>IF(L15=0,"",IF(L15&lt;&gt;L14,INDEX(Escaleta!$F$1:$F$504,L15),IF(L15&lt;&gt;L13,TEXT(INDEX(Escaleta!$C$1:$C$504,L15),"hh:mm")&amp;"–"&amp;TEXT(INDEX(Escaleta!$E$1:$E$504,L15),"hh:mm"),"")))</f>
        <v/>
      </c>
      <c r="C15" s="49">
        <f>IF(M15=0,"",IF(M15&lt;&gt;M14,INDEX(Escaleta!$F$1:$F$504,M15),IF(M15&lt;&gt;M13,TEXT(INDEX(Escaleta!$C$1:$C$504,M15),"hh:mm")&amp;"–"&amp;TEXT(INDEX(Escaleta!$E$1:$E$504,M15),"hh:mm"),"")))</f>
        <v/>
      </c>
      <c r="D15" s="49">
        <f>IF(N15=0,"",IF(N15&lt;&gt;N14,INDEX(Escaleta!$F$1:$F$504,N15),IF(N15&lt;&gt;N13,TEXT(INDEX(Escaleta!$C$1:$C$504,N15),"hh:mm")&amp;"–"&amp;TEXT(INDEX(Escaleta!$E$1:$E$504,N15),"hh:mm"),"")))</f>
        <v/>
      </c>
      <c r="E15" s="49">
        <f>IF(O15=0,"",IF(O15&lt;&gt;O14,INDEX(Escaleta!$F$1:$F$504,O15),IF(O15&lt;&gt;O13,TEXT(INDEX(Escaleta!$C$1:$C$504,O15),"hh:mm")&amp;"–"&amp;TEXT(INDEX(Escaleta!$E$1:$E$504,O15),"hh:mm"),"")))</f>
        <v/>
      </c>
      <c r="F15" s="49">
        <f>IF(P15=0,"",IF(P15&lt;&gt;P14,INDEX(Escaleta!$F$1:$F$504,P15),IF(P15&lt;&gt;P13,TEXT(INDEX(Escaleta!$C$1:$C$504,P15),"hh:mm")&amp;"–"&amp;TEXT(INDEX(Escaleta!$E$1:$E$504,P15),"hh:mm"),"")))</f>
        <v/>
      </c>
      <c r="G15" s="49">
        <f>IF(Q15=0,"",IF(Q15&lt;&gt;Q14,INDEX(Escaleta!$F$1:$F$504,Q15),IF(Q15&lt;&gt;Q13,TEXT(INDEX(Escaleta!$C$1:$C$504,Q15),"hh:mm")&amp;"–"&amp;TEXT(INDEX(Escaleta!$E$1:$E$504,Q15),"hh:mm"),"")))</f>
        <v/>
      </c>
      <c r="H15" s="49">
        <f>IF(R15=0,"",IF(R15&lt;&gt;R14,INDEX(Escaleta!$F$1:$F$504,R15),IF(R15&lt;&gt;R13,TEXT(INDEX(Escaleta!$C$1:$C$504,R15),"hh:mm")&amp;"–"&amp;TEXT(INDEX(Escaleta!$E$1:$E$504,R15),"hh:mm"),"")))</f>
        <v/>
      </c>
      <c r="I15" s="49">
        <f>IF(S15=0,"",IF(S15&lt;&gt;S14,INDEX(Escaleta!$F$1:$F$504,S15),IF(S15&lt;&gt;S13,TEXT(INDEX(Escaleta!$C$1:$C$504,S15),"hh:mm")&amp;"–"&amp;TEXT(INDEX(Escaleta!$E$1:$E$504,S15),"hh:mm"),"")))</f>
        <v/>
      </c>
      <c r="L15" s="50">
        <f>IF(OR($A15="",B$6=""),0,SUMPRODUCT(MAX((Escaleta!$A$5:$A$504=$B$4)*(Escaleta!$H$5:$H$504=B$6)*(Escaleta!$K$5:$K$504&lt;&gt;"Cancelada")*(Escaleta!$C$5:$C$504&lt;$A15+Configuración!$C$7/1440)*(Escaleta!$E$5:$E$504&gt;$A15)*ROW(Escaleta!$A$5:$A$504))))</f>
        <v/>
      </c>
      <c r="M15" s="50">
        <f>IF(OR($A15="",C$6=""),0,SUMPRODUCT(MAX((Escaleta!$A$5:$A$504=$B$4)*(Escaleta!$H$5:$H$504=C$6)*(Escaleta!$K$5:$K$504&lt;&gt;"Cancelada")*(Escaleta!$C$5:$C$504&lt;$A15+Configuración!$C$7/1440)*(Escaleta!$E$5:$E$504&gt;$A15)*ROW(Escaleta!$A$5:$A$504))))</f>
        <v/>
      </c>
      <c r="N15" s="50">
        <f>IF(OR($A15="",D$6=""),0,SUMPRODUCT(MAX((Escaleta!$A$5:$A$504=$B$4)*(Escaleta!$H$5:$H$504=D$6)*(Escaleta!$K$5:$K$504&lt;&gt;"Cancelada")*(Escaleta!$C$5:$C$504&lt;$A15+Configuración!$C$7/1440)*(Escaleta!$E$5:$E$504&gt;$A15)*ROW(Escaleta!$A$5:$A$504))))</f>
        <v/>
      </c>
      <c r="O15" s="50">
        <f>IF(OR($A15="",E$6=""),0,SUMPRODUCT(MAX((Escaleta!$A$5:$A$504=$B$4)*(Escaleta!$H$5:$H$504=E$6)*(Escaleta!$K$5:$K$504&lt;&gt;"Cancelada")*(Escaleta!$C$5:$C$504&lt;$A15+Configuración!$C$7/1440)*(Escaleta!$E$5:$E$504&gt;$A15)*ROW(Escaleta!$A$5:$A$504))))</f>
        <v/>
      </c>
      <c r="P15" s="50">
        <f>IF(OR($A15="",F$6=""),0,SUMPRODUCT(MAX((Escaleta!$A$5:$A$504=$B$4)*(Escaleta!$H$5:$H$504=F$6)*(Escaleta!$K$5:$K$504&lt;&gt;"Cancelada")*(Escaleta!$C$5:$C$504&lt;$A15+Configuración!$C$7/1440)*(Escaleta!$E$5:$E$504&gt;$A15)*ROW(Escaleta!$A$5:$A$504))))</f>
        <v/>
      </c>
      <c r="Q15" s="50">
        <f>IF(OR($A15="",G$6=""),0,SUMPRODUCT(MAX((Escaleta!$A$5:$A$504=$B$4)*(Escaleta!$H$5:$H$504=G$6)*(Escaleta!$K$5:$K$504&lt;&gt;"Cancelada")*(Escaleta!$C$5:$C$504&lt;$A15+Configuración!$C$7/1440)*(Escaleta!$E$5:$E$504&gt;$A15)*ROW(Escaleta!$A$5:$A$504))))</f>
        <v/>
      </c>
      <c r="R15" s="50">
        <f>IF(OR($A15="",H$6=""),0,SUMPRODUCT(MAX((Escaleta!$A$5:$A$504=$B$4)*(Escaleta!$H$5:$H$504=H$6)*(Escaleta!$K$5:$K$504&lt;&gt;"Cancelada")*(Escaleta!$C$5:$C$504&lt;$A15+Configuración!$C$7/1440)*(Escaleta!$E$5:$E$504&gt;$A15)*ROW(Escaleta!$A$5:$A$504))))</f>
        <v/>
      </c>
      <c r="S15" s="50">
        <f>IF(OR($A15="",I$6=""),0,SUMPRODUCT(MAX((Escaleta!$A$5:$A$504=$B$4)*(Escaleta!$H$5:$H$504=I$6)*(Escaleta!$K$5:$K$504&lt;&gt;"Cancelada")*(Escaleta!$C$5:$C$504&lt;$A15+Configuración!$C$7/1440)*(Escaleta!$E$5:$E$504&gt;$A15)*ROW(Escaleta!$A$5:$A$504))))</f>
        <v/>
      </c>
      <c r="U15" s="50">
        <f>IF(L15=0,"",INDEX(Escaleta!$I$1:$I$504,L15))</f>
        <v/>
      </c>
      <c r="V15" s="50">
        <f>IF(M15=0,"",INDEX(Escaleta!$I$1:$I$504,M15))</f>
        <v/>
      </c>
      <c r="W15" s="50">
        <f>IF(N15=0,"",INDEX(Escaleta!$I$1:$I$504,N15))</f>
        <v/>
      </c>
      <c r="X15" s="50">
        <f>IF(O15=0,"",INDEX(Escaleta!$I$1:$I$504,O15))</f>
        <v/>
      </c>
      <c r="Y15" s="50">
        <f>IF(P15=0,"",INDEX(Escaleta!$I$1:$I$504,P15))</f>
        <v/>
      </c>
      <c r="Z15" s="50">
        <f>IF(Q15=0,"",INDEX(Escaleta!$I$1:$I$504,Q15))</f>
        <v/>
      </c>
      <c r="AA15" s="50">
        <f>IF(R15=0,"",INDEX(Escaleta!$I$1:$I$504,R15))</f>
        <v/>
      </c>
      <c r="AB15" s="50">
        <f>IF(S15=0,"",INDEX(Escaleta!$I$1:$I$504,S15))</f>
        <v/>
      </c>
    </row>
    <row r="16" ht="18" customHeight="1">
      <c r="A16" s="48">
        <f>IF(A15="","",IF(A15+Configuración!$C$7/1440&gt;Configuración!$C$6-0.0001,"",A15+Configuración!$C$7/1440))</f>
        <v/>
      </c>
      <c r="B16" s="49">
        <f>IF(L16=0,"",IF(L16&lt;&gt;L15,INDEX(Escaleta!$F$1:$F$504,L16),IF(L16&lt;&gt;L14,TEXT(INDEX(Escaleta!$C$1:$C$504,L16),"hh:mm")&amp;"–"&amp;TEXT(INDEX(Escaleta!$E$1:$E$504,L16),"hh:mm"),"")))</f>
        <v/>
      </c>
      <c r="C16" s="49">
        <f>IF(M16=0,"",IF(M16&lt;&gt;M15,INDEX(Escaleta!$F$1:$F$504,M16),IF(M16&lt;&gt;M14,TEXT(INDEX(Escaleta!$C$1:$C$504,M16),"hh:mm")&amp;"–"&amp;TEXT(INDEX(Escaleta!$E$1:$E$504,M16),"hh:mm"),"")))</f>
        <v/>
      </c>
      <c r="D16" s="49">
        <f>IF(N16=0,"",IF(N16&lt;&gt;N15,INDEX(Escaleta!$F$1:$F$504,N16),IF(N16&lt;&gt;N14,TEXT(INDEX(Escaleta!$C$1:$C$504,N16),"hh:mm")&amp;"–"&amp;TEXT(INDEX(Escaleta!$E$1:$E$504,N16),"hh:mm"),"")))</f>
        <v/>
      </c>
      <c r="E16" s="49">
        <f>IF(O16=0,"",IF(O16&lt;&gt;O15,INDEX(Escaleta!$F$1:$F$504,O16),IF(O16&lt;&gt;O14,TEXT(INDEX(Escaleta!$C$1:$C$504,O16),"hh:mm")&amp;"–"&amp;TEXT(INDEX(Escaleta!$E$1:$E$504,O16),"hh:mm"),"")))</f>
        <v/>
      </c>
      <c r="F16" s="49">
        <f>IF(P16=0,"",IF(P16&lt;&gt;P15,INDEX(Escaleta!$F$1:$F$504,P16),IF(P16&lt;&gt;P14,TEXT(INDEX(Escaleta!$C$1:$C$504,P16),"hh:mm")&amp;"–"&amp;TEXT(INDEX(Escaleta!$E$1:$E$504,P16),"hh:mm"),"")))</f>
        <v/>
      </c>
      <c r="G16" s="49">
        <f>IF(Q16=0,"",IF(Q16&lt;&gt;Q15,INDEX(Escaleta!$F$1:$F$504,Q16),IF(Q16&lt;&gt;Q14,TEXT(INDEX(Escaleta!$C$1:$C$504,Q16),"hh:mm")&amp;"–"&amp;TEXT(INDEX(Escaleta!$E$1:$E$504,Q16),"hh:mm"),"")))</f>
        <v/>
      </c>
      <c r="H16" s="49">
        <f>IF(R16=0,"",IF(R16&lt;&gt;R15,INDEX(Escaleta!$F$1:$F$504,R16),IF(R16&lt;&gt;R14,TEXT(INDEX(Escaleta!$C$1:$C$504,R16),"hh:mm")&amp;"–"&amp;TEXT(INDEX(Escaleta!$E$1:$E$504,R16),"hh:mm"),"")))</f>
        <v/>
      </c>
      <c r="I16" s="49">
        <f>IF(S16=0,"",IF(S16&lt;&gt;S15,INDEX(Escaleta!$F$1:$F$504,S16),IF(S16&lt;&gt;S14,TEXT(INDEX(Escaleta!$C$1:$C$504,S16),"hh:mm")&amp;"–"&amp;TEXT(INDEX(Escaleta!$E$1:$E$504,S16),"hh:mm"),"")))</f>
        <v/>
      </c>
      <c r="L16" s="50">
        <f>IF(OR($A16="",B$6=""),0,SUMPRODUCT(MAX((Escaleta!$A$5:$A$504=$B$4)*(Escaleta!$H$5:$H$504=B$6)*(Escaleta!$K$5:$K$504&lt;&gt;"Cancelada")*(Escaleta!$C$5:$C$504&lt;$A16+Configuración!$C$7/1440)*(Escaleta!$E$5:$E$504&gt;$A16)*ROW(Escaleta!$A$5:$A$504))))</f>
        <v/>
      </c>
      <c r="M16" s="50">
        <f>IF(OR($A16="",C$6=""),0,SUMPRODUCT(MAX((Escaleta!$A$5:$A$504=$B$4)*(Escaleta!$H$5:$H$504=C$6)*(Escaleta!$K$5:$K$504&lt;&gt;"Cancelada")*(Escaleta!$C$5:$C$504&lt;$A16+Configuración!$C$7/1440)*(Escaleta!$E$5:$E$504&gt;$A16)*ROW(Escaleta!$A$5:$A$504))))</f>
        <v/>
      </c>
      <c r="N16" s="50">
        <f>IF(OR($A16="",D$6=""),0,SUMPRODUCT(MAX((Escaleta!$A$5:$A$504=$B$4)*(Escaleta!$H$5:$H$504=D$6)*(Escaleta!$K$5:$K$504&lt;&gt;"Cancelada")*(Escaleta!$C$5:$C$504&lt;$A16+Configuración!$C$7/1440)*(Escaleta!$E$5:$E$504&gt;$A16)*ROW(Escaleta!$A$5:$A$504))))</f>
        <v/>
      </c>
      <c r="O16" s="50">
        <f>IF(OR($A16="",E$6=""),0,SUMPRODUCT(MAX((Escaleta!$A$5:$A$504=$B$4)*(Escaleta!$H$5:$H$504=E$6)*(Escaleta!$K$5:$K$504&lt;&gt;"Cancelada")*(Escaleta!$C$5:$C$504&lt;$A16+Configuración!$C$7/1440)*(Escaleta!$E$5:$E$504&gt;$A16)*ROW(Escaleta!$A$5:$A$504))))</f>
        <v/>
      </c>
      <c r="P16" s="50">
        <f>IF(OR($A16="",F$6=""),0,SUMPRODUCT(MAX((Escaleta!$A$5:$A$504=$B$4)*(Escaleta!$H$5:$H$504=F$6)*(Escaleta!$K$5:$K$504&lt;&gt;"Cancelada")*(Escaleta!$C$5:$C$504&lt;$A16+Configuración!$C$7/1440)*(Escaleta!$E$5:$E$504&gt;$A16)*ROW(Escaleta!$A$5:$A$504))))</f>
        <v/>
      </c>
      <c r="Q16" s="50">
        <f>IF(OR($A16="",G$6=""),0,SUMPRODUCT(MAX((Escaleta!$A$5:$A$504=$B$4)*(Escaleta!$H$5:$H$504=G$6)*(Escaleta!$K$5:$K$504&lt;&gt;"Cancelada")*(Escaleta!$C$5:$C$504&lt;$A16+Configuración!$C$7/1440)*(Escaleta!$E$5:$E$504&gt;$A16)*ROW(Escaleta!$A$5:$A$504))))</f>
        <v/>
      </c>
      <c r="R16" s="50">
        <f>IF(OR($A16="",H$6=""),0,SUMPRODUCT(MAX((Escaleta!$A$5:$A$504=$B$4)*(Escaleta!$H$5:$H$504=H$6)*(Escaleta!$K$5:$K$504&lt;&gt;"Cancelada")*(Escaleta!$C$5:$C$504&lt;$A16+Configuración!$C$7/1440)*(Escaleta!$E$5:$E$504&gt;$A16)*ROW(Escaleta!$A$5:$A$504))))</f>
        <v/>
      </c>
      <c r="S16" s="50">
        <f>IF(OR($A16="",I$6=""),0,SUMPRODUCT(MAX((Escaleta!$A$5:$A$504=$B$4)*(Escaleta!$H$5:$H$504=I$6)*(Escaleta!$K$5:$K$504&lt;&gt;"Cancelada")*(Escaleta!$C$5:$C$504&lt;$A16+Configuración!$C$7/1440)*(Escaleta!$E$5:$E$504&gt;$A16)*ROW(Escaleta!$A$5:$A$504))))</f>
        <v/>
      </c>
      <c r="U16" s="50">
        <f>IF(L16=0,"",INDEX(Escaleta!$I$1:$I$504,L16))</f>
        <v/>
      </c>
      <c r="V16" s="50">
        <f>IF(M16=0,"",INDEX(Escaleta!$I$1:$I$504,M16))</f>
        <v/>
      </c>
      <c r="W16" s="50">
        <f>IF(N16=0,"",INDEX(Escaleta!$I$1:$I$504,N16))</f>
        <v/>
      </c>
      <c r="X16" s="50">
        <f>IF(O16=0,"",INDEX(Escaleta!$I$1:$I$504,O16))</f>
        <v/>
      </c>
      <c r="Y16" s="50">
        <f>IF(P16=0,"",INDEX(Escaleta!$I$1:$I$504,P16))</f>
        <v/>
      </c>
      <c r="Z16" s="50">
        <f>IF(Q16=0,"",INDEX(Escaleta!$I$1:$I$504,Q16))</f>
        <v/>
      </c>
      <c r="AA16" s="50">
        <f>IF(R16=0,"",INDEX(Escaleta!$I$1:$I$504,R16))</f>
        <v/>
      </c>
      <c r="AB16" s="50">
        <f>IF(S16=0,"",INDEX(Escaleta!$I$1:$I$504,S16))</f>
        <v/>
      </c>
    </row>
    <row r="17" ht="18" customHeight="1">
      <c r="A17" s="48">
        <f>IF(A16="","",IF(A16+Configuración!$C$7/1440&gt;Configuración!$C$6-0.0001,"",A16+Configuración!$C$7/1440))</f>
        <v/>
      </c>
      <c r="B17" s="49">
        <f>IF(L17=0,"",IF(L17&lt;&gt;L16,INDEX(Escaleta!$F$1:$F$504,L17),IF(L17&lt;&gt;L15,TEXT(INDEX(Escaleta!$C$1:$C$504,L17),"hh:mm")&amp;"–"&amp;TEXT(INDEX(Escaleta!$E$1:$E$504,L17),"hh:mm"),"")))</f>
        <v/>
      </c>
      <c r="C17" s="49">
        <f>IF(M17=0,"",IF(M17&lt;&gt;M16,INDEX(Escaleta!$F$1:$F$504,M17),IF(M17&lt;&gt;M15,TEXT(INDEX(Escaleta!$C$1:$C$504,M17),"hh:mm")&amp;"–"&amp;TEXT(INDEX(Escaleta!$E$1:$E$504,M17),"hh:mm"),"")))</f>
        <v/>
      </c>
      <c r="D17" s="49">
        <f>IF(N17=0,"",IF(N17&lt;&gt;N16,INDEX(Escaleta!$F$1:$F$504,N17),IF(N17&lt;&gt;N15,TEXT(INDEX(Escaleta!$C$1:$C$504,N17),"hh:mm")&amp;"–"&amp;TEXT(INDEX(Escaleta!$E$1:$E$504,N17),"hh:mm"),"")))</f>
        <v/>
      </c>
      <c r="E17" s="49">
        <f>IF(O17=0,"",IF(O17&lt;&gt;O16,INDEX(Escaleta!$F$1:$F$504,O17),IF(O17&lt;&gt;O15,TEXT(INDEX(Escaleta!$C$1:$C$504,O17),"hh:mm")&amp;"–"&amp;TEXT(INDEX(Escaleta!$E$1:$E$504,O17),"hh:mm"),"")))</f>
        <v/>
      </c>
      <c r="F17" s="49">
        <f>IF(P17=0,"",IF(P17&lt;&gt;P16,INDEX(Escaleta!$F$1:$F$504,P17),IF(P17&lt;&gt;P15,TEXT(INDEX(Escaleta!$C$1:$C$504,P17),"hh:mm")&amp;"–"&amp;TEXT(INDEX(Escaleta!$E$1:$E$504,P17),"hh:mm"),"")))</f>
        <v/>
      </c>
      <c r="G17" s="49">
        <f>IF(Q17=0,"",IF(Q17&lt;&gt;Q16,INDEX(Escaleta!$F$1:$F$504,Q17),IF(Q17&lt;&gt;Q15,TEXT(INDEX(Escaleta!$C$1:$C$504,Q17),"hh:mm")&amp;"–"&amp;TEXT(INDEX(Escaleta!$E$1:$E$504,Q17),"hh:mm"),"")))</f>
        <v/>
      </c>
      <c r="H17" s="49">
        <f>IF(R17=0,"",IF(R17&lt;&gt;R16,INDEX(Escaleta!$F$1:$F$504,R17),IF(R17&lt;&gt;R15,TEXT(INDEX(Escaleta!$C$1:$C$504,R17),"hh:mm")&amp;"–"&amp;TEXT(INDEX(Escaleta!$E$1:$E$504,R17),"hh:mm"),"")))</f>
        <v/>
      </c>
      <c r="I17" s="49">
        <f>IF(S17=0,"",IF(S17&lt;&gt;S16,INDEX(Escaleta!$F$1:$F$504,S17),IF(S17&lt;&gt;S15,TEXT(INDEX(Escaleta!$C$1:$C$504,S17),"hh:mm")&amp;"–"&amp;TEXT(INDEX(Escaleta!$E$1:$E$504,S17),"hh:mm"),"")))</f>
        <v/>
      </c>
      <c r="L17" s="50">
        <f>IF(OR($A17="",B$6=""),0,SUMPRODUCT(MAX((Escaleta!$A$5:$A$504=$B$4)*(Escaleta!$H$5:$H$504=B$6)*(Escaleta!$K$5:$K$504&lt;&gt;"Cancelada")*(Escaleta!$C$5:$C$504&lt;$A17+Configuración!$C$7/1440)*(Escaleta!$E$5:$E$504&gt;$A17)*ROW(Escaleta!$A$5:$A$504))))</f>
        <v/>
      </c>
      <c r="M17" s="50">
        <f>IF(OR($A17="",C$6=""),0,SUMPRODUCT(MAX((Escaleta!$A$5:$A$504=$B$4)*(Escaleta!$H$5:$H$504=C$6)*(Escaleta!$K$5:$K$504&lt;&gt;"Cancelada")*(Escaleta!$C$5:$C$504&lt;$A17+Configuración!$C$7/1440)*(Escaleta!$E$5:$E$504&gt;$A17)*ROW(Escaleta!$A$5:$A$504))))</f>
        <v/>
      </c>
      <c r="N17" s="50">
        <f>IF(OR($A17="",D$6=""),0,SUMPRODUCT(MAX((Escaleta!$A$5:$A$504=$B$4)*(Escaleta!$H$5:$H$504=D$6)*(Escaleta!$K$5:$K$504&lt;&gt;"Cancelada")*(Escaleta!$C$5:$C$504&lt;$A17+Configuración!$C$7/1440)*(Escaleta!$E$5:$E$504&gt;$A17)*ROW(Escaleta!$A$5:$A$504))))</f>
        <v/>
      </c>
      <c r="O17" s="50">
        <f>IF(OR($A17="",E$6=""),0,SUMPRODUCT(MAX((Escaleta!$A$5:$A$504=$B$4)*(Escaleta!$H$5:$H$504=E$6)*(Escaleta!$K$5:$K$504&lt;&gt;"Cancelada")*(Escaleta!$C$5:$C$504&lt;$A17+Configuración!$C$7/1440)*(Escaleta!$E$5:$E$504&gt;$A17)*ROW(Escaleta!$A$5:$A$504))))</f>
        <v/>
      </c>
      <c r="P17" s="50">
        <f>IF(OR($A17="",F$6=""),0,SUMPRODUCT(MAX((Escaleta!$A$5:$A$504=$B$4)*(Escaleta!$H$5:$H$504=F$6)*(Escaleta!$K$5:$K$504&lt;&gt;"Cancelada")*(Escaleta!$C$5:$C$504&lt;$A17+Configuración!$C$7/1440)*(Escaleta!$E$5:$E$504&gt;$A17)*ROW(Escaleta!$A$5:$A$504))))</f>
        <v/>
      </c>
      <c r="Q17" s="50">
        <f>IF(OR($A17="",G$6=""),0,SUMPRODUCT(MAX((Escaleta!$A$5:$A$504=$B$4)*(Escaleta!$H$5:$H$504=G$6)*(Escaleta!$K$5:$K$504&lt;&gt;"Cancelada")*(Escaleta!$C$5:$C$504&lt;$A17+Configuración!$C$7/1440)*(Escaleta!$E$5:$E$504&gt;$A17)*ROW(Escaleta!$A$5:$A$504))))</f>
        <v/>
      </c>
      <c r="R17" s="50">
        <f>IF(OR($A17="",H$6=""),0,SUMPRODUCT(MAX((Escaleta!$A$5:$A$504=$B$4)*(Escaleta!$H$5:$H$504=H$6)*(Escaleta!$K$5:$K$504&lt;&gt;"Cancelada")*(Escaleta!$C$5:$C$504&lt;$A17+Configuración!$C$7/1440)*(Escaleta!$E$5:$E$504&gt;$A17)*ROW(Escaleta!$A$5:$A$504))))</f>
        <v/>
      </c>
      <c r="S17" s="50">
        <f>IF(OR($A17="",I$6=""),0,SUMPRODUCT(MAX((Escaleta!$A$5:$A$504=$B$4)*(Escaleta!$H$5:$H$504=I$6)*(Escaleta!$K$5:$K$504&lt;&gt;"Cancelada")*(Escaleta!$C$5:$C$504&lt;$A17+Configuración!$C$7/1440)*(Escaleta!$E$5:$E$504&gt;$A17)*ROW(Escaleta!$A$5:$A$504))))</f>
        <v/>
      </c>
      <c r="U17" s="50">
        <f>IF(L17=0,"",INDEX(Escaleta!$I$1:$I$504,L17))</f>
        <v/>
      </c>
      <c r="V17" s="50">
        <f>IF(M17=0,"",INDEX(Escaleta!$I$1:$I$504,M17))</f>
        <v/>
      </c>
      <c r="W17" s="50">
        <f>IF(N17=0,"",INDEX(Escaleta!$I$1:$I$504,N17))</f>
        <v/>
      </c>
      <c r="X17" s="50">
        <f>IF(O17=0,"",INDEX(Escaleta!$I$1:$I$504,O17))</f>
        <v/>
      </c>
      <c r="Y17" s="50">
        <f>IF(P17=0,"",INDEX(Escaleta!$I$1:$I$504,P17))</f>
        <v/>
      </c>
      <c r="Z17" s="50">
        <f>IF(Q17=0,"",INDEX(Escaleta!$I$1:$I$504,Q17))</f>
        <v/>
      </c>
      <c r="AA17" s="50">
        <f>IF(R17=0,"",INDEX(Escaleta!$I$1:$I$504,R17))</f>
        <v/>
      </c>
      <c r="AB17" s="50">
        <f>IF(S17=0,"",INDEX(Escaleta!$I$1:$I$504,S17))</f>
        <v/>
      </c>
    </row>
    <row r="18" ht="18" customHeight="1">
      <c r="A18" s="48">
        <f>IF(A17="","",IF(A17+Configuración!$C$7/1440&gt;Configuración!$C$6-0.0001,"",A17+Configuración!$C$7/1440))</f>
        <v/>
      </c>
      <c r="B18" s="49">
        <f>IF(L18=0,"",IF(L18&lt;&gt;L17,INDEX(Escaleta!$F$1:$F$504,L18),IF(L18&lt;&gt;L16,TEXT(INDEX(Escaleta!$C$1:$C$504,L18),"hh:mm")&amp;"–"&amp;TEXT(INDEX(Escaleta!$E$1:$E$504,L18),"hh:mm"),"")))</f>
        <v/>
      </c>
      <c r="C18" s="49">
        <f>IF(M18=0,"",IF(M18&lt;&gt;M17,INDEX(Escaleta!$F$1:$F$504,M18),IF(M18&lt;&gt;M16,TEXT(INDEX(Escaleta!$C$1:$C$504,M18),"hh:mm")&amp;"–"&amp;TEXT(INDEX(Escaleta!$E$1:$E$504,M18),"hh:mm"),"")))</f>
        <v/>
      </c>
      <c r="D18" s="49">
        <f>IF(N18=0,"",IF(N18&lt;&gt;N17,INDEX(Escaleta!$F$1:$F$504,N18),IF(N18&lt;&gt;N16,TEXT(INDEX(Escaleta!$C$1:$C$504,N18),"hh:mm")&amp;"–"&amp;TEXT(INDEX(Escaleta!$E$1:$E$504,N18),"hh:mm"),"")))</f>
        <v/>
      </c>
      <c r="E18" s="49">
        <f>IF(O18=0,"",IF(O18&lt;&gt;O17,INDEX(Escaleta!$F$1:$F$504,O18),IF(O18&lt;&gt;O16,TEXT(INDEX(Escaleta!$C$1:$C$504,O18),"hh:mm")&amp;"–"&amp;TEXT(INDEX(Escaleta!$E$1:$E$504,O18),"hh:mm"),"")))</f>
        <v/>
      </c>
      <c r="F18" s="49">
        <f>IF(P18=0,"",IF(P18&lt;&gt;P17,INDEX(Escaleta!$F$1:$F$504,P18),IF(P18&lt;&gt;P16,TEXT(INDEX(Escaleta!$C$1:$C$504,P18),"hh:mm")&amp;"–"&amp;TEXT(INDEX(Escaleta!$E$1:$E$504,P18),"hh:mm"),"")))</f>
        <v/>
      </c>
      <c r="G18" s="49">
        <f>IF(Q18=0,"",IF(Q18&lt;&gt;Q17,INDEX(Escaleta!$F$1:$F$504,Q18),IF(Q18&lt;&gt;Q16,TEXT(INDEX(Escaleta!$C$1:$C$504,Q18),"hh:mm")&amp;"–"&amp;TEXT(INDEX(Escaleta!$E$1:$E$504,Q18),"hh:mm"),"")))</f>
        <v/>
      </c>
      <c r="H18" s="49">
        <f>IF(R18=0,"",IF(R18&lt;&gt;R17,INDEX(Escaleta!$F$1:$F$504,R18),IF(R18&lt;&gt;R16,TEXT(INDEX(Escaleta!$C$1:$C$504,R18),"hh:mm")&amp;"–"&amp;TEXT(INDEX(Escaleta!$E$1:$E$504,R18),"hh:mm"),"")))</f>
        <v/>
      </c>
      <c r="I18" s="49">
        <f>IF(S18=0,"",IF(S18&lt;&gt;S17,INDEX(Escaleta!$F$1:$F$504,S18),IF(S18&lt;&gt;S16,TEXT(INDEX(Escaleta!$C$1:$C$504,S18),"hh:mm")&amp;"–"&amp;TEXT(INDEX(Escaleta!$E$1:$E$504,S18),"hh:mm"),"")))</f>
        <v/>
      </c>
      <c r="L18" s="50">
        <f>IF(OR($A18="",B$6=""),0,SUMPRODUCT(MAX((Escaleta!$A$5:$A$504=$B$4)*(Escaleta!$H$5:$H$504=B$6)*(Escaleta!$K$5:$K$504&lt;&gt;"Cancelada")*(Escaleta!$C$5:$C$504&lt;$A18+Configuración!$C$7/1440)*(Escaleta!$E$5:$E$504&gt;$A18)*ROW(Escaleta!$A$5:$A$504))))</f>
        <v/>
      </c>
      <c r="M18" s="50">
        <f>IF(OR($A18="",C$6=""),0,SUMPRODUCT(MAX((Escaleta!$A$5:$A$504=$B$4)*(Escaleta!$H$5:$H$504=C$6)*(Escaleta!$K$5:$K$504&lt;&gt;"Cancelada")*(Escaleta!$C$5:$C$504&lt;$A18+Configuración!$C$7/1440)*(Escaleta!$E$5:$E$504&gt;$A18)*ROW(Escaleta!$A$5:$A$504))))</f>
        <v/>
      </c>
      <c r="N18" s="50">
        <f>IF(OR($A18="",D$6=""),0,SUMPRODUCT(MAX((Escaleta!$A$5:$A$504=$B$4)*(Escaleta!$H$5:$H$504=D$6)*(Escaleta!$K$5:$K$504&lt;&gt;"Cancelada")*(Escaleta!$C$5:$C$504&lt;$A18+Configuración!$C$7/1440)*(Escaleta!$E$5:$E$504&gt;$A18)*ROW(Escaleta!$A$5:$A$504))))</f>
        <v/>
      </c>
      <c r="O18" s="50">
        <f>IF(OR($A18="",E$6=""),0,SUMPRODUCT(MAX((Escaleta!$A$5:$A$504=$B$4)*(Escaleta!$H$5:$H$504=E$6)*(Escaleta!$K$5:$K$504&lt;&gt;"Cancelada")*(Escaleta!$C$5:$C$504&lt;$A18+Configuración!$C$7/1440)*(Escaleta!$E$5:$E$504&gt;$A18)*ROW(Escaleta!$A$5:$A$504))))</f>
        <v/>
      </c>
      <c r="P18" s="50">
        <f>IF(OR($A18="",F$6=""),0,SUMPRODUCT(MAX((Escaleta!$A$5:$A$504=$B$4)*(Escaleta!$H$5:$H$504=F$6)*(Escaleta!$K$5:$K$504&lt;&gt;"Cancelada")*(Escaleta!$C$5:$C$504&lt;$A18+Configuración!$C$7/1440)*(Escaleta!$E$5:$E$504&gt;$A18)*ROW(Escaleta!$A$5:$A$504))))</f>
        <v/>
      </c>
      <c r="Q18" s="50">
        <f>IF(OR($A18="",G$6=""),0,SUMPRODUCT(MAX((Escaleta!$A$5:$A$504=$B$4)*(Escaleta!$H$5:$H$504=G$6)*(Escaleta!$K$5:$K$504&lt;&gt;"Cancelada")*(Escaleta!$C$5:$C$504&lt;$A18+Configuración!$C$7/1440)*(Escaleta!$E$5:$E$504&gt;$A18)*ROW(Escaleta!$A$5:$A$504))))</f>
        <v/>
      </c>
      <c r="R18" s="50">
        <f>IF(OR($A18="",H$6=""),0,SUMPRODUCT(MAX((Escaleta!$A$5:$A$504=$B$4)*(Escaleta!$H$5:$H$504=H$6)*(Escaleta!$K$5:$K$504&lt;&gt;"Cancelada")*(Escaleta!$C$5:$C$504&lt;$A18+Configuración!$C$7/1440)*(Escaleta!$E$5:$E$504&gt;$A18)*ROW(Escaleta!$A$5:$A$504))))</f>
        <v/>
      </c>
      <c r="S18" s="50">
        <f>IF(OR($A18="",I$6=""),0,SUMPRODUCT(MAX((Escaleta!$A$5:$A$504=$B$4)*(Escaleta!$H$5:$H$504=I$6)*(Escaleta!$K$5:$K$504&lt;&gt;"Cancelada")*(Escaleta!$C$5:$C$504&lt;$A18+Configuración!$C$7/1440)*(Escaleta!$E$5:$E$504&gt;$A18)*ROW(Escaleta!$A$5:$A$504))))</f>
        <v/>
      </c>
      <c r="U18" s="50">
        <f>IF(L18=0,"",INDEX(Escaleta!$I$1:$I$504,L18))</f>
        <v/>
      </c>
      <c r="V18" s="50">
        <f>IF(M18=0,"",INDEX(Escaleta!$I$1:$I$504,M18))</f>
        <v/>
      </c>
      <c r="W18" s="50">
        <f>IF(N18=0,"",INDEX(Escaleta!$I$1:$I$504,N18))</f>
        <v/>
      </c>
      <c r="X18" s="50">
        <f>IF(O18=0,"",INDEX(Escaleta!$I$1:$I$504,O18))</f>
        <v/>
      </c>
      <c r="Y18" s="50">
        <f>IF(P18=0,"",INDEX(Escaleta!$I$1:$I$504,P18))</f>
        <v/>
      </c>
      <c r="Z18" s="50">
        <f>IF(Q18=0,"",INDEX(Escaleta!$I$1:$I$504,Q18))</f>
        <v/>
      </c>
      <c r="AA18" s="50">
        <f>IF(R18=0,"",INDEX(Escaleta!$I$1:$I$504,R18))</f>
        <v/>
      </c>
      <c r="AB18" s="50">
        <f>IF(S18=0,"",INDEX(Escaleta!$I$1:$I$504,S18))</f>
        <v/>
      </c>
    </row>
    <row r="19" ht="18" customHeight="1">
      <c r="A19" s="48">
        <f>IF(A18="","",IF(A18+Configuración!$C$7/1440&gt;Configuración!$C$6-0.0001,"",A18+Configuración!$C$7/1440))</f>
        <v/>
      </c>
      <c r="B19" s="49">
        <f>IF(L19=0,"",IF(L19&lt;&gt;L18,INDEX(Escaleta!$F$1:$F$504,L19),IF(L19&lt;&gt;L17,TEXT(INDEX(Escaleta!$C$1:$C$504,L19),"hh:mm")&amp;"–"&amp;TEXT(INDEX(Escaleta!$E$1:$E$504,L19),"hh:mm"),"")))</f>
        <v/>
      </c>
      <c r="C19" s="49">
        <f>IF(M19=0,"",IF(M19&lt;&gt;M18,INDEX(Escaleta!$F$1:$F$504,M19),IF(M19&lt;&gt;M17,TEXT(INDEX(Escaleta!$C$1:$C$504,M19),"hh:mm")&amp;"–"&amp;TEXT(INDEX(Escaleta!$E$1:$E$504,M19),"hh:mm"),"")))</f>
        <v/>
      </c>
      <c r="D19" s="49">
        <f>IF(N19=0,"",IF(N19&lt;&gt;N18,INDEX(Escaleta!$F$1:$F$504,N19),IF(N19&lt;&gt;N17,TEXT(INDEX(Escaleta!$C$1:$C$504,N19),"hh:mm")&amp;"–"&amp;TEXT(INDEX(Escaleta!$E$1:$E$504,N19),"hh:mm"),"")))</f>
        <v/>
      </c>
      <c r="E19" s="49">
        <f>IF(O19=0,"",IF(O19&lt;&gt;O18,INDEX(Escaleta!$F$1:$F$504,O19),IF(O19&lt;&gt;O17,TEXT(INDEX(Escaleta!$C$1:$C$504,O19),"hh:mm")&amp;"–"&amp;TEXT(INDEX(Escaleta!$E$1:$E$504,O19),"hh:mm"),"")))</f>
        <v/>
      </c>
      <c r="F19" s="49">
        <f>IF(P19=0,"",IF(P19&lt;&gt;P18,INDEX(Escaleta!$F$1:$F$504,P19),IF(P19&lt;&gt;P17,TEXT(INDEX(Escaleta!$C$1:$C$504,P19),"hh:mm")&amp;"–"&amp;TEXT(INDEX(Escaleta!$E$1:$E$504,P19),"hh:mm"),"")))</f>
        <v/>
      </c>
      <c r="G19" s="49">
        <f>IF(Q19=0,"",IF(Q19&lt;&gt;Q18,INDEX(Escaleta!$F$1:$F$504,Q19),IF(Q19&lt;&gt;Q17,TEXT(INDEX(Escaleta!$C$1:$C$504,Q19),"hh:mm")&amp;"–"&amp;TEXT(INDEX(Escaleta!$E$1:$E$504,Q19),"hh:mm"),"")))</f>
        <v/>
      </c>
      <c r="H19" s="49">
        <f>IF(R19=0,"",IF(R19&lt;&gt;R18,INDEX(Escaleta!$F$1:$F$504,R19),IF(R19&lt;&gt;R17,TEXT(INDEX(Escaleta!$C$1:$C$504,R19),"hh:mm")&amp;"–"&amp;TEXT(INDEX(Escaleta!$E$1:$E$504,R19),"hh:mm"),"")))</f>
        <v/>
      </c>
      <c r="I19" s="49">
        <f>IF(S19=0,"",IF(S19&lt;&gt;S18,INDEX(Escaleta!$F$1:$F$504,S19),IF(S19&lt;&gt;S17,TEXT(INDEX(Escaleta!$C$1:$C$504,S19),"hh:mm")&amp;"–"&amp;TEXT(INDEX(Escaleta!$E$1:$E$504,S19),"hh:mm"),"")))</f>
        <v/>
      </c>
      <c r="L19" s="50">
        <f>IF(OR($A19="",B$6=""),0,SUMPRODUCT(MAX((Escaleta!$A$5:$A$504=$B$4)*(Escaleta!$H$5:$H$504=B$6)*(Escaleta!$K$5:$K$504&lt;&gt;"Cancelada")*(Escaleta!$C$5:$C$504&lt;$A19+Configuración!$C$7/1440)*(Escaleta!$E$5:$E$504&gt;$A19)*ROW(Escaleta!$A$5:$A$504))))</f>
        <v/>
      </c>
      <c r="M19" s="50">
        <f>IF(OR($A19="",C$6=""),0,SUMPRODUCT(MAX((Escaleta!$A$5:$A$504=$B$4)*(Escaleta!$H$5:$H$504=C$6)*(Escaleta!$K$5:$K$504&lt;&gt;"Cancelada")*(Escaleta!$C$5:$C$504&lt;$A19+Configuración!$C$7/1440)*(Escaleta!$E$5:$E$504&gt;$A19)*ROW(Escaleta!$A$5:$A$504))))</f>
        <v/>
      </c>
      <c r="N19" s="50">
        <f>IF(OR($A19="",D$6=""),0,SUMPRODUCT(MAX((Escaleta!$A$5:$A$504=$B$4)*(Escaleta!$H$5:$H$504=D$6)*(Escaleta!$K$5:$K$504&lt;&gt;"Cancelada")*(Escaleta!$C$5:$C$504&lt;$A19+Configuración!$C$7/1440)*(Escaleta!$E$5:$E$504&gt;$A19)*ROW(Escaleta!$A$5:$A$504))))</f>
        <v/>
      </c>
      <c r="O19" s="50">
        <f>IF(OR($A19="",E$6=""),0,SUMPRODUCT(MAX((Escaleta!$A$5:$A$504=$B$4)*(Escaleta!$H$5:$H$504=E$6)*(Escaleta!$K$5:$K$504&lt;&gt;"Cancelada")*(Escaleta!$C$5:$C$504&lt;$A19+Configuración!$C$7/1440)*(Escaleta!$E$5:$E$504&gt;$A19)*ROW(Escaleta!$A$5:$A$504))))</f>
        <v/>
      </c>
      <c r="P19" s="50">
        <f>IF(OR($A19="",F$6=""),0,SUMPRODUCT(MAX((Escaleta!$A$5:$A$504=$B$4)*(Escaleta!$H$5:$H$504=F$6)*(Escaleta!$K$5:$K$504&lt;&gt;"Cancelada")*(Escaleta!$C$5:$C$504&lt;$A19+Configuración!$C$7/1440)*(Escaleta!$E$5:$E$504&gt;$A19)*ROW(Escaleta!$A$5:$A$504))))</f>
        <v/>
      </c>
      <c r="Q19" s="50">
        <f>IF(OR($A19="",G$6=""),0,SUMPRODUCT(MAX((Escaleta!$A$5:$A$504=$B$4)*(Escaleta!$H$5:$H$504=G$6)*(Escaleta!$K$5:$K$504&lt;&gt;"Cancelada")*(Escaleta!$C$5:$C$504&lt;$A19+Configuración!$C$7/1440)*(Escaleta!$E$5:$E$504&gt;$A19)*ROW(Escaleta!$A$5:$A$504))))</f>
        <v/>
      </c>
      <c r="R19" s="50">
        <f>IF(OR($A19="",H$6=""),0,SUMPRODUCT(MAX((Escaleta!$A$5:$A$504=$B$4)*(Escaleta!$H$5:$H$504=H$6)*(Escaleta!$K$5:$K$504&lt;&gt;"Cancelada")*(Escaleta!$C$5:$C$504&lt;$A19+Configuración!$C$7/1440)*(Escaleta!$E$5:$E$504&gt;$A19)*ROW(Escaleta!$A$5:$A$504))))</f>
        <v/>
      </c>
      <c r="S19" s="50">
        <f>IF(OR($A19="",I$6=""),0,SUMPRODUCT(MAX((Escaleta!$A$5:$A$504=$B$4)*(Escaleta!$H$5:$H$504=I$6)*(Escaleta!$K$5:$K$504&lt;&gt;"Cancelada")*(Escaleta!$C$5:$C$504&lt;$A19+Configuración!$C$7/1440)*(Escaleta!$E$5:$E$504&gt;$A19)*ROW(Escaleta!$A$5:$A$504))))</f>
        <v/>
      </c>
      <c r="U19" s="50">
        <f>IF(L19=0,"",INDEX(Escaleta!$I$1:$I$504,L19))</f>
        <v/>
      </c>
      <c r="V19" s="50">
        <f>IF(M19=0,"",INDEX(Escaleta!$I$1:$I$504,M19))</f>
        <v/>
      </c>
      <c r="W19" s="50">
        <f>IF(N19=0,"",INDEX(Escaleta!$I$1:$I$504,N19))</f>
        <v/>
      </c>
      <c r="X19" s="50">
        <f>IF(O19=0,"",INDEX(Escaleta!$I$1:$I$504,O19))</f>
        <v/>
      </c>
      <c r="Y19" s="50">
        <f>IF(P19=0,"",INDEX(Escaleta!$I$1:$I$504,P19))</f>
        <v/>
      </c>
      <c r="Z19" s="50">
        <f>IF(Q19=0,"",INDEX(Escaleta!$I$1:$I$504,Q19))</f>
        <v/>
      </c>
      <c r="AA19" s="50">
        <f>IF(R19=0,"",INDEX(Escaleta!$I$1:$I$504,R19))</f>
        <v/>
      </c>
      <c r="AB19" s="50">
        <f>IF(S19=0,"",INDEX(Escaleta!$I$1:$I$504,S19))</f>
        <v/>
      </c>
    </row>
    <row r="20" ht="18" customHeight="1">
      <c r="A20" s="48">
        <f>IF(A19="","",IF(A19+Configuración!$C$7/1440&gt;Configuración!$C$6-0.0001,"",A19+Configuración!$C$7/1440))</f>
        <v/>
      </c>
      <c r="B20" s="49">
        <f>IF(L20=0,"",IF(L20&lt;&gt;L19,INDEX(Escaleta!$F$1:$F$504,L20),IF(L20&lt;&gt;L18,TEXT(INDEX(Escaleta!$C$1:$C$504,L20),"hh:mm")&amp;"–"&amp;TEXT(INDEX(Escaleta!$E$1:$E$504,L20),"hh:mm"),"")))</f>
        <v/>
      </c>
      <c r="C20" s="49">
        <f>IF(M20=0,"",IF(M20&lt;&gt;M19,INDEX(Escaleta!$F$1:$F$504,M20),IF(M20&lt;&gt;M18,TEXT(INDEX(Escaleta!$C$1:$C$504,M20),"hh:mm")&amp;"–"&amp;TEXT(INDEX(Escaleta!$E$1:$E$504,M20),"hh:mm"),"")))</f>
        <v/>
      </c>
      <c r="D20" s="49">
        <f>IF(N20=0,"",IF(N20&lt;&gt;N19,INDEX(Escaleta!$F$1:$F$504,N20),IF(N20&lt;&gt;N18,TEXT(INDEX(Escaleta!$C$1:$C$504,N20),"hh:mm")&amp;"–"&amp;TEXT(INDEX(Escaleta!$E$1:$E$504,N20),"hh:mm"),"")))</f>
        <v/>
      </c>
      <c r="E20" s="49">
        <f>IF(O20=0,"",IF(O20&lt;&gt;O19,INDEX(Escaleta!$F$1:$F$504,O20),IF(O20&lt;&gt;O18,TEXT(INDEX(Escaleta!$C$1:$C$504,O20),"hh:mm")&amp;"–"&amp;TEXT(INDEX(Escaleta!$E$1:$E$504,O20),"hh:mm"),"")))</f>
        <v/>
      </c>
      <c r="F20" s="49">
        <f>IF(P20=0,"",IF(P20&lt;&gt;P19,INDEX(Escaleta!$F$1:$F$504,P20),IF(P20&lt;&gt;P18,TEXT(INDEX(Escaleta!$C$1:$C$504,P20),"hh:mm")&amp;"–"&amp;TEXT(INDEX(Escaleta!$E$1:$E$504,P20),"hh:mm"),"")))</f>
        <v/>
      </c>
      <c r="G20" s="49">
        <f>IF(Q20=0,"",IF(Q20&lt;&gt;Q19,INDEX(Escaleta!$F$1:$F$504,Q20),IF(Q20&lt;&gt;Q18,TEXT(INDEX(Escaleta!$C$1:$C$504,Q20),"hh:mm")&amp;"–"&amp;TEXT(INDEX(Escaleta!$E$1:$E$504,Q20),"hh:mm"),"")))</f>
        <v/>
      </c>
      <c r="H20" s="49">
        <f>IF(R20=0,"",IF(R20&lt;&gt;R19,INDEX(Escaleta!$F$1:$F$504,R20),IF(R20&lt;&gt;R18,TEXT(INDEX(Escaleta!$C$1:$C$504,R20),"hh:mm")&amp;"–"&amp;TEXT(INDEX(Escaleta!$E$1:$E$504,R20),"hh:mm"),"")))</f>
        <v/>
      </c>
      <c r="I20" s="49">
        <f>IF(S20=0,"",IF(S20&lt;&gt;S19,INDEX(Escaleta!$F$1:$F$504,S20),IF(S20&lt;&gt;S18,TEXT(INDEX(Escaleta!$C$1:$C$504,S20),"hh:mm")&amp;"–"&amp;TEXT(INDEX(Escaleta!$E$1:$E$504,S20),"hh:mm"),"")))</f>
        <v/>
      </c>
      <c r="L20" s="50">
        <f>IF(OR($A20="",B$6=""),0,SUMPRODUCT(MAX((Escaleta!$A$5:$A$504=$B$4)*(Escaleta!$H$5:$H$504=B$6)*(Escaleta!$K$5:$K$504&lt;&gt;"Cancelada")*(Escaleta!$C$5:$C$504&lt;$A20+Configuración!$C$7/1440)*(Escaleta!$E$5:$E$504&gt;$A20)*ROW(Escaleta!$A$5:$A$504))))</f>
        <v/>
      </c>
      <c r="M20" s="50">
        <f>IF(OR($A20="",C$6=""),0,SUMPRODUCT(MAX((Escaleta!$A$5:$A$504=$B$4)*(Escaleta!$H$5:$H$504=C$6)*(Escaleta!$K$5:$K$504&lt;&gt;"Cancelada")*(Escaleta!$C$5:$C$504&lt;$A20+Configuración!$C$7/1440)*(Escaleta!$E$5:$E$504&gt;$A20)*ROW(Escaleta!$A$5:$A$504))))</f>
        <v/>
      </c>
      <c r="N20" s="50">
        <f>IF(OR($A20="",D$6=""),0,SUMPRODUCT(MAX((Escaleta!$A$5:$A$504=$B$4)*(Escaleta!$H$5:$H$504=D$6)*(Escaleta!$K$5:$K$504&lt;&gt;"Cancelada")*(Escaleta!$C$5:$C$504&lt;$A20+Configuración!$C$7/1440)*(Escaleta!$E$5:$E$504&gt;$A20)*ROW(Escaleta!$A$5:$A$504))))</f>
        <v/>
      </c>
      <c r="O20" s="50">
        <f>IF(OR($A20="",E$6=""),0,SUMPRODUCT(MAX((Escaleta!$A$5:$A$504=$B$4)*(Escaleta!$H$5:$H$504=E$6)*(Escaleta!$K$5:$K$504&lt;&gt;"Cancelada")*(Escaleta!$C$5:$C$504&lt;$A20+Configuración!$C$7/1440)*(Escaleta!$E$5:$E$504&gt;$A20)*ROW(Escaleta!$A$5:$A$504))))</f>
        <v/>
      </c>
      <c r="P20" s="50">
        <f>IF(OR($A20="",F$6=""),0,SUMPRODUCT(MAX((Escaleta!$A$5:$A$504=$B$4)*(Escaleta!$H$5:$H$504=F$6)*(Escaleta!$K$5:$K$504&lt;&gt;"Cancelada")*(Escaleta!$C$5:$C$504&lt;$A20+Configuración!$C$7/1440)*(Escaleta!$E$5:$E$504&gt;$A20)*ROW(Escaleta!$A$5:$A$504))))</f>
        <v/>
      </c>
      <c r="Q20" s="50">
        <f>IF(OR($A20="",G$6=""),0,SUMPRODUCT(MAX((Escaleta!$A$5:$A$504=$B$4)*(Escaleta!$H$5:$H$504=G$6)*(Escaleta!$K$5:$K$504&lt;&gt;"Cancelada")*(Escaleta!$C$5:$C$504&lt;$A20+Configuración!$C$7/1440)*(Escaleta!$E$5:$E$504&gt;$A20)*ROW(Escaleta!$A$5:$A$504))))</f>
        <v/>
      </c>
      <c r="R20" s="50">
        <f>IF(OR($A20="",H$6=""),0,SUMPRODUCT(MAX((Escaleta!$A$5:$A$504=$B$4)*(Escaleta!$H$5:$H$504=H$6)*(Escaleta!$K$5:$K$504&lt;&gt;"Cancelada")*(Escaleta!$C$5:$C$504&lt;$A20+Configuración!$C$7/1440)*(Escaleta!$E$5:$E$504&gt;$A20)*ROW(Escaleta!$A$5:$A$504))))</f>
        <v/>
      </c>
      <c r="S20" s="50">
        <f>IF(OR($A20="",I$6=""),0,SUMPRODUCT(MAX((Escaleta!$A$5:$A$504=$B$4)*(Escaleta!$H$5:$H$504=I$6)*(Escaleta!$K$5:$K$504&lt;&gt;"Cancelada")*(Escaleta!$C$5:$C$504&lt;$A20+Configuración!$C$7/1440)*(Escaleta!$E$5:$E$504&gt;$A20)*ROW(Escaleta!$A$5:$A$504))))</f>
        <v/>
      </c>
      <c r="U20" s="50">
        <f>IF(L20=0,"",INDEX(Escaleta!$I$1:$I$504,L20))</f>
        <v/>
      </c>
      <c r="V20" s="50">
        <f>IF(M20=0,"",INDEX(Escaleta!$I$1:$I$504,M20))</f>
        <v/>
      </c>
      <c r="W20" s="50">
        <f>IF(N20=0,"",INDEX(Escaleta!$I$1:$I$504,N20))</f>
        <v/>
      </c>
      <c r="X20" s="50">
        <f>IF(O20=0,"",INDEX(Escaleta!$I$1:$I$504,O20))</f>
        <v/>
      </c>
      <c r="Y20" s="50">
        <f>IF(P20=0,"",INDEX(Escaleta!$I$1:$I$504,P20))</f>
        <v/>
      </c>
      <c r="Z20" s="50">
        <f>IF(Q20=0,"",INDEX(Escaleta!$I$1:$I$504,Q20))</f>
        <v/>
      </c>
      <c r="AA20" s="50">
        <f>IF(R20=0,"",INDEX(Escaleta!$I$1:$I$504,R20))</f>
        <v/>
      </c>
      <c r="AB20" s="50">
        <f>IF(S20=0,"",INDEX(Escaleta!$I$1:$I$504,S20))</f>
        <v/>
      </c>
    </row>
    <row r="21" ht="18" customHeight="1">
      <c r="A21" s="48">
        <f>IF(A20="","",IF(A20+Configuración!$C$7/1440&gt;Configuración!$C$6-0.0001,"",A20+Configuración!$C$7/1440))</f>
        <v/>
      </c>
      <c r="B21" s="49">
        <f>IF(L21=0,"",IF(L21&lt;&gt;L20,INDEX(Escaleta!$F$1:$F$504,L21),IF(L21&lt;&gt;L19,TEXT(INDEX(Escaleta!$C$1:$C$504,L21),"hh:mm")&amp;"–"&amp;TEXT(INDEX(Escaleta!$E$1:$E$504,L21),"hh:mm"),"")))</f>
        <v/>
      </c>
      <c r="C21" s="49">
        <f>IF(M21=0,"",IF(M21&lt;&gt;M20,INDEX(Escaleta!$F$1:$F$504,M21),IF(M21&lt;&gt;M19,TEXT(INDEX(Escaleta!$C$1:$C$504,M21),"hh:mm")&amp;"–"&amp;TEXT(INDEX(Escaleta!$E$1:$E$504,M21),"hh:mm"),"")))</f>
        <v/>
      </c>
      <c r="D21" s="49">
        <f>IF(N21=0,"",IF(N21&lt;&gt;N20,INDEX(Escaleta!$F$1:$F$504,N21),IF(N21&lt;&gt;N19,TEXT(INDEX(Escaleta!$C$1:$C$504,N21),"hh:mm")&amp;"–"&amp;TEXT(INDEX(Escaleta!$E$1:$E$504,N21),"hh:mm"),"")))</f>
        <v/>
      </c>
      <c r="E21" s="49">
        <f>IF(O21=0,"",IF(O21&lt;&gt;O20,INDEX(Escaleta!$F$1:$F$504,O21),IF(O21&lt;&gt;O19,TEXT(INDEX(Escaleta!$C$1:$C$504,O21),"hh:mm")&amp;"–"&amp;TEXT(INDEX(Escaleta!$E$1:$E$504,O21),"hh:mm"),"")))</f>
        <v/>
      </c>
      <c r="F21" s="49">
        <f>IF(P21=0,"",IF(P21&lt;&gt;P20,INDEX(Escaleta!$F$1:$F$504,P21),IF(P21&lt;&gt;P19,TEXT(INDEX(Escaleta!$C$1:$C$504,P21),"hh:mm")&amp;"–"&amp;TEXT(INDEX(Escaleta!$E$1:$E$504,P21),"hh:mm"),"")))</f>
        <v/>
      </c>
      <c r="G21" s="49">
        <f>IF(Q21=0,"",IF(Q21&lt;&gt;Q20,INDEX(Escaleta!$F$1:$F$504,Q21),IF(Q21&lt;&gt;Q19,TEXT(INDEX(Escaleta!$C$1:$C$504,Q21),"hh:mm")&amp;"–"&amp;TEXT(INDEX(Escaleta!$E$1:$E$504,Q21),"hh:mm"),"")))</f>
        <v/>
      </c>
      <c r="H21" s="49">
        <f>IF(R21=0,"",IF(R21&lt;&gt;R20,INDEX(Escaleta!$F$1:$F$504,R21),IF(R21&lt;&gt;R19,TEXT(INDEX(Escaleta!$C$1:$C$504,R21),"hh:mm")&amp;"–"&amp;TEXT(INDEX(Escaleta!$E$1:$E$504,R21),"hh:mm"),"")))</f>
        <v/>
      </c>
      <c r="I21" s="49">
        <f>IF(S21=0,"",IF(S21&lt;&gt;S20,INDEX(Escaleta!$F$1:$F$504,S21),IF(S21&lt;&gt;S19,TEXT(INDEX(Escaleta!$C$1:$C$504,S21),"hh:mm")&amp;"–"&amp;TEXT(INDEX(Escaleta!$E$1:$E$504,S21),"hh:mm"),"")))</f>
        <v/>
      </c>
      <c r="L21" s="50">
        <f>IF(OR($A21="",B$6=""),0,SUMPRODUCT(MAX((Escaleta!$A$5:$A$504=$B$4)*(Escaleta!$H$5:$H$504=B$6)*(Escaleta!$K$5:$K$504&lt;&gt;"Cancelada")*(Escaleta!$C$5:$C$504&lt;$A21+Configuración!$C$7/1440)*(Escaleta!$E$5:$E$504&gt;$A21)*ROW(Escaleta!$A$5:$A$504))))</f>
        <v/>
      </c>
      <c r="M21" s="50">
        <f>IF(OR($A21="",C$6=""),0,SUMPRODUCT(MAX((Escaleta!$A$5:$A$504=$B$4)*(Escaleta!$H$5:$H$504=C$6)*(Escaleta!$K$5:$K$504&lt;&gt;"Cancelada")*(Escaleta!$C$5:$C$504&lt;$A21+Configuración!$C$7/1440)*(Escaleta!$E$5:$E$504&gt;$A21)*ROW(Escaleta!$A$5:$A$504))))</f>
        <v/>
      </c>
      <c r="N21" s="50">
        <f>IF(OR($A21="",D$6=""),0,SUMPRODUCT(MAX((Escaleta!$A$5:$A$504=$B$4)*(Escaleta!$H$5:$H$504=D$6)*(Escaleta!$K$5:$K$504&lt;&gt;"Cancelada")*(Escaleta!$C$5:$C$504&lt;$A21+Configuración!$C$7/1440)*(Escaleta!$E$5:$E$504&gt;$A21)*ROW(Escaleta!$A$5:$A$504))))</f>
        <v/>
      </c>
      <c r="O21" s="50">
        <f>IF(OR($A21="",E$6=""),0,SUMPRODUCT(MAX((Escaleta!$A$5:$A$504=$B$4)*(Escaleta!$H$5:$H$504=E$6)*(Escaleta!$K$5:$K$504&lt;&gt;"Cancelada")*(Escaleta!$C$5:$C$504&lt;$A21+Configuración!$C$7/1440)*(Escaleta!$E$5:$E$504&gt;$A21)*ROW(Escaleta!$A$5:$A$504))))</f>
        <v/>
      </c>
      <c r="P21" s="50">
        <f>IF(OR($A21="",F$6=""),0,SUMPRODUCT(MAX((Escaleta!$A$5:$A$504=$B$4)*(Escaleta!$H$5:$H$504=F$6)*(Escaleta!$K$5:$K$504&lt;&gt;"Cancelada")*(Escaleta!$C$5:$C$504&lt;$A21+Configuración!$C$7/1440)*(Escaleta!$E$5:$E$504&gt;$A21)*ROW(Escaleta!$A$5:$A$504))))</f>
        <v/>
      </c>
      <c r="Q21" s="50">
        <f>IF(OR($A21="",G$6=""),0,SUMPRODUCT(MAX((Escaleta!$A$5:$A$504=$B$4)*(Escaleta!$H$5:$H$504=G$6)*(Escaleta!$K$5:$K$504&lt;&gt;"Cancelada")*(Escaleta!$C$5:$C$504&lt;$A21+Configuración!$C$7/1440)*(Escaleta!$E$5:$E$504&gt;$A21)*ROW(Escaleta!$A$5:$A$504))))</f>
        <v/>
      </c>
      <c r="R21" s="50">
        <f>IF(OR($A21="",H$6=""),0,SUMPRODUCT(MAX((Escaleta!$A$5:$A$504=$B$4)*(Escaleta!$H$5:$H$504=H$6)*(Escaleta!$K$5:$K$504&lt;&gt;"Cancelada")*(Escaleta!$C$5:$C$504&lt;$A21+Configuración!$C$7/1440)*(Escaleta!$E$5:$E$504&gt;$A21)*ROW(Escaleta!$A$5:$A$504))))</f>
        <v/>
      </c>
      <c r="S21" s="50">
        <f>IF(OR($A21="",I$6=""),0,SUMPRODUCT(MAX((Escaleta!$A$5:$A$504=$B$4)*(Escaleta!$H$5:$H$504=I$6)*(Escaleta!$K$5:$K$504&lt;&gt;"Cancelada")*(Escaleta!$C$5:$C$504&lt;$A21+Configuración!$C$7/1440)*(Escaleta!$E$5:$E$504&gt;$A21)*ROW(Escaleta!$A$5:$A$504))))</f>
        <v/>
      </c>
      <c r="U21" s="50">
        <f>IF(L21=0,"",INDEX(Escaleta!$I$1:$I$504,L21))</f>
        <v/>
      </c>
      <c r="V21" s="50">
        <f>IF(M21=0,"",INDEX(Escaleta!$I$1:$I$504,M21))</f>
        <v/>
      </c>
      <c r="W21" s="50">
        <f>IF(N21=0,"",INDEX(Escaleta!$I$1:$I$504,N21))</f>
        <v/>
      </c>
      <c r="X21" s="50">
        <f>IF(O21=0,"",INDEX(Escaleta!$I$1:$I$504,O21))</f>
        <v/>
      </c>
      <c r="Y21" s="50">
        <f>IF(P21=0,"",INDEX(Escaleta!$I$1:$I$504,P21))</f>
        <v/>
      </c>
      <c r="Z21" s="50">
        <f>IF(Q21=0,"",INDEX(Escaleta!$I$1:$I$504,Q21))</f>
        <v/>
      </c>
      <c r="AA21" s="50">
        <f>IF(R21=0,"",INDEX(Escaleta!$I$1:$I$504,R21))</f>
        <v/>
      </c>
      <c r="AB21" s="50">
        <f>IF(S21=0,"",INDEX(Escaleta!$I$1:$I$504,S21))</f>
        <v/>
      </c>
    </row>
    <row r="22" ht="18" customHeight="1">
      <c r="A22" s="48">
        <f>IF(A21="","",IF(A21+Configuración!$C$7/1440&gt;Configuración!$C$6-0.0001,"",A21+Configuración!$C$7/1440))</f>
        <v/>
      </c>
      <c r="B22" s="49">
        <f>IF(L22=0,"",IF(L22&lt;&gt;L21,INDEX(Escaleta!$F$1:$F$504,L22),IF(L22&lt;&gt;L20,TEXT(INDEX(Escaleta!$C$1:$C$504,L22),"hh:mm")&amp;"–"&amp;TEXT(INDEX(Escaleta!$E$1:$E$504,L22),"hh:mm"),"")))</f>
        <v/>
      </c>
      <c r="C22" s="49">
        <f>IF(M22=0,"",IF(M22&lt;&gt;M21,INDEX(Escaleta!$F$1:$F$504,M22),IF(M22&lt;&gt;M20,TEXT(INDEX(Escaleta!$C$1:$C$504,M22),"hh:mm")&amp;"–"&amp;TEXT(INDEX(Escaleta!$E$1:$E$504,M22),"hh:mm"),"")))</f>
        <v/>
      </c>
      <c r="D22" s="49">
        <f>IF(N22=0,"",IF(N22&lt;&gt;N21,INDEX(Escaleta!$F$1:$F$504,N22),IF(N22&lt;&gt;N20,TEXT(INDEX(Escaleta!$C$1:$C$504,N22),"hh:mm")&amp;"–"&amp;TEXT(INDEX(Escaleta!$E$1:$E$504,N22),"hh:mm"),"")))</f>
        <v/>
      </c>
      <c r="E22" s="49">
        <f>IF(O22=0,"",IF(O22&lt;&gt;O21,INDEX(Escaleta!$F$1:$F$504,O22),IF(O22&lt;&gt;O20,TEXT(INDEX(Escaleta!$C$1:$C$504,O22),"hh:mm")&amp;"–"&amp;TEXT(INDEX(Escaleta!$E$1:$E$504,O22),"hh:mm"),"")))</f>
        <v/>
      </c>
      <c r="F22" s="49">
        <f>IF(P22=0,"",IF(P22&lt;&gt;P21,INDEX(Escaleta!$F$1:$F$504,P22),IF(P22&lt;&gt;P20,TEXT(INDEX(Escaleta!$C$1:$C$504,P22),"hh:mm")&amp;"–"&amp;TEXT(INDEX(Escaleta!$E$1:$E$504,P22),"hh:mm"),"")))</f>
        <v/>
      </c>
      <c r="G22" s="49">
        <f>IF(Q22=0,"",IF(Q22&lt;&gt;Q21,INDEX(Escaleta!$F$1:$F$504,Q22),IF(Q22&lt;&gt;Q20,TEXT(INDEX(Escaleta!$C$1:$C$504,Q22),"hh:mm")&amp;"–"&amp;TEXT(INDEX(Escaleta!$E$1:$E$504,Q22),"hh:mm"),"")))</f>
        <v/>
      </c>
      <c r="H22" s="49">
        <f>IF(R22=0,"",IF(R22&lt;&gt;R21,INDEX(Escaleta!$F$1:$F$504,R22),IF(R22&lt;&gt;R20,TEXT(INDEX(Escaleta!$C$1:$C$504,R22),"hh:mm")&amp;"–"&amp;TEXT(INDEX(Escaleta!$E$1:$E$504,R22),"hh:mm"),"")))</f>
        <v/>
      </c>
      <c r="I22" s="49">
        <f>IF(S22=0,"",IF(S22&lt;&gt;S21,INDEX(Escaleta!$F$1:$F$504,S22),IF(S22&lt;&gt;S20,TEXT(INDEX(Escaleta!$C$1:$C$504,S22),"hh:mm")&amp;"–"&amp;TEXT(INDEX(Escaleta!$E$1:$E$504,S22),"hh:mm"),"")))</f>
        <v/>
      </c>
      <c r="L22" s="50">
        <f>IF(OR($A22="",B$6=""),0,SUMPRODUCT(MAX((Escaleta!$A$5:$A$504=$B$4)*(Escaleta!$H$5:$H$504=B$6)*(Escaleta!$K$5:$K$504&lt;&gt;"Cancelada")*(Escaleta!$C$5:$C$504&lt;$A22+Configuración!$C$7/1440)*(Escaleta!$E$5:$E$504&gt;$A22)*ROW(Escaleta!$A$5:$A$504))))</f>
        <v/>
      </c>
      <c r="M22" s="50">
        <f>IF(OR($A22="",C$6=""),0,SUMPRODUCT(MAX((Escaleta!$A$5:$A$504=$B$4)*(Escaleta!$H$5:$H$504=C$6)*(Escaleta!$K$5:$K$504&lt;&gt;"Cancelada")*(Escaleta!$C$5:$C$504&lt;$A22+Configuración!$C$7/1440)*(Escaleta!$E$5:$E$504&gt;$A22)*ROW(Escaleta!$A$5:$A$504))))</f>
        <v/>
      </c>
      <c r="N22" s="50">
        <f>IF(OR($A22="",D$6=""),0,SUMPRODUCT(MAX((Escaleta!$A$5:$A$504=$B$4)*(Escaleta!$H$5:$H$504=D$6)*(Escaleta!$K$5:$K$504&lt;&gt;"Cancelada")*(Escaleta!$C$5:$C$504&lt;$A22+Configuración!$C$7/1440)*(Escaleta!$E$5:$E$504&gt;$A22)*ROW(Escaleta!$A$5:$A$504))))</f>
        <v/>
      </c>
      <c r="O22" s="50">
        <f>IF(OR($A22="",E$6=""),0,SUMPRODUCT(MAX((Escaleta!$A$5:$A$504=$B$4)*(Escaleta!$H$5:$H$504=E$6)*(Escaleta!$K$5:$K$504&lt;&gt;"Cancelada")*(Escaleta!$C$5:$C$504&lt;$A22+Configuración!$C$7/1440)*(Escaleta!$E$5:$E$504&gt;$A22)*ROW(Escaleta!$A$5:$A$504))))</f>
        <v/>
      </c>
      <c r="P22" s="50">
        <f>IF(OR($A22="",F$6=""),0,SUMPRODUCT(MAX((Escaleta!$A$5:$A$504=$B$4)*(Escaleta!$H$5:$H$504=F$6)*(Escaleta!$K$5:$K$504&lt;&gt;"Cancelada")*(Escaleta!$C$5:$C$504&lt;$A22+Configuración!$C$7/1440)*(Escaleta!$E$5:$E$504&gt;$A22)*ROW(Escaleta!$A$5:$A$504))))</f>
        <v/>
      </c>
      <c r="Q22" s="50">
        <f>IF(OR($A22="",G$6=""),0,SUMPRODUCT(MAX((Escaleta!$A$5:$A$504=$B$4)*(Escaleta!$H$5:$H$504=G$6)*(Escaleta!$K$5:$K$504&lt;&gt;"Cancelada")*(Escaleta!$C$5:$C$504&lt;$A22+Configuración!$C$7/1440)*(Escaleta!$E$5:$E$504&gt;$A22)*ROW(Escaleta!$A$5:$A$504))))</f>
        <v/>
      </c>
      <c r="R22" s="50">
        <f>IF(OR($A22="",H$6=""),0,SUMPRODUCT(MAX((Escaleta!$A$5:$A$504=$B$4)*(Escaleta!$H$5:$H$504=H$6)*(Escaleta!$K$5:$K$504&lt;&gt;"Cancelada")*(Escaleta!$C$5:$C$504&lt;$A22+Configuración!$C$7/1440)*(Escaleta!$E$5:$E$504&gt;$A22)*ROW(Escaleta!$A$5:$A$504))))</f>
        <v/>
      </c>
      <c r="S22" s="50">
        <f>IF(OR($A22="",I$6=""),0,SUMPRODUCT(MAX((Escaleta!$A$5:$A$504=$B$4)*(Escaleta!$H$5:$H$504=I$6)*(Escaleta!$K$5:$K$504&lt;&gt;"Cancelada")*(Escaleta!$C$5:$C$504&lt;$A22+Configuración!$C$7/1440)*(Escaleta!$E$5:$E$504&gt;$A22)*ROW(Escaleta!$A$5:$A$504))))</f>
        <v/>
      </c>
      <c r="U22" s="50">
        <f>IF(L22=0,"",INDEX(Escaleta!$I$1:$I$504,L22))</f>
        <v/>
      </c>
      <c r="V22" s="50">
        <f>IF(M22=0,"",INDEX(Escaleta!$I$1:$I$504,M22))</f>
        <v/>
      </c>
      <c r="W22" s="50">
        <f>IF(N22=0,"",INDEX(Escaleta!$I$1:$I$504,N22))</f>
        <v/>
      </c>
      <c r="X22" s="50">
        <f>IF(O22=0,"",INDEX(Escaleta!$I$1:$I$504,O22))</f>
        <v/>
      </c>
      <c r="Y22" s="50">
        <f>IF(P22=0,"",INDEX(Escaleta!$I$1:$I$504,P22))</f>
        <v/>
      </c>
      <c r="Z22" s="50">
        <f>IF(Q22=0,"",INDEX(Escaleta!$I$1:$I$504,Q22))</f>
        <v/>
      </c>
      <c r="AA22" s="50">
        <f>IF(R22=0,"",INDEX(Escaleta!$I$1:$I$504,R22))</f>
        <v/>
      </c>
      <c r="AB22" s="50">
        <f>IF(S22=0,"",INDEX(Escaleta!$I$1:$I$504,S22))</f>
        <v/>
      </c>
    </row>
    <row r="23" ht="18" customHeight="1">
      <c r="A23" s="48">
        <f>IF(A22="","",IF(A22+Configuración!$C$7/1440&gt;Configuración!$C$6-0.0001,"",A22+Configuración!$C$7/1440))</f>
        <v/>
      </c>
      <c r="B23" s="49">
        <f>IF(L23=0,"",IF(L23&lt;&gt;L22,INDEX(Escaleta!$F$1:$F$504,L23),IF(L23&lt;&gt;L21,TEXT(INDEX(Escaleta!$C$1:$C$504,L23),"hh:mm")&amp;"–"&amp;TEXT(INDEX(Escaleta!$E$1:$E$504,L23),"hh:mm"),"")))</f>
        <v/>
      </c>
      <c r="C23" s="49">
        <f>IF(M23=0,"",IF(M23&lt;&gt;M22,INDEX(Escaleta!$F$1:$F$504,M23),IF(M23&lt;&gt;M21,TEXT(INDEX(Escaleta!$C$1:$C$504,M23),"hh:mm")&amp;"–"&amp;TEXT(INDEX(Escaleta!$E$1:$E$504,M23),"hh:mm"),"")))</f>
        <v/>
      </c>
      <c r="D23" s="49">
        <f>IF(N23=0,"",IF(N23&lt;&gt;N22,INDEX(Escaleta!$F$1:$F$504,N23),IF(N23&lt;&gt;N21,TEXT(INDEX(Escaleta!$C$1:$C$504,N23),"hh:mm")&amp;"–"&amp;TEXT(INDEX(Escaleta!$E$1:$E$504,N23),"hh:mm"),"")))</f>
        <v/>
      </c>
      <c r="E23" s="49">
        <f>IF(O23=0,"",IF(O23&lt;&gt;O22,INDEX(Escaleta!$F$1:$F$504,O23),IF(O23&lt;&gt;O21,TEXT(INDEX(Escaleta!$C$1:$C$504,O23),"hh:mm")&amp;"–"&amp;TEXT(INDEX(Escaleta!$E$1:$E$504,O23),"hh:mm"),"")))</f>
        <v/>
      </c>
      <c r="F23" s="49">
        <f>IF(P23=0,"",IF(P23&lt;&gt;P22,INDEX(Escaleta!$F$1:$F$504,P23),IF(P23&lt;&gt;P21,TEXT(INDEX(Escaleta!$C$1:$C$504,P23),"hh:mm")&amp;"–"&amp;TEXT(INDEX(Escaleta!$E$1:$E$504,P23),"hh:mm"),"")))</f>
        <v/>
      </c>
      <c r="G23" s="49">
        <f>IF(Q23=0,"",IF(Q23&lt;&gt;Q22,INDEX(Escaleta!$F$1:$F$504,Q23),IF(Q23&lt;&gt;Q21,TEXT(INDEX(Escaleta!$C$1:$C$504,Q23),"hh:mm")&amp;"–"&amp;TEXT(INDEX(Escaleta!$E$1:$E$504,Q23),"hh:mm"),"")))</f>
        <v/>
      </c>
      <c r="H23" s="49">
        <f>IF(R23=0,"",IF(R23&lt;&gt;R22,INDEX(Escaleta!$F$1:$F$504,R23),IF(R23&lt;&gt;R21,TEXT(INDEX(Escaleta!$C$1:$C$504,R23),"hh:mm")&amp;"–"&amp;TEXT(INDEX(Escaleta!$E$1:$E$504,R23),"hh:mm"),"")))</f>
        <v/>
      </c>
      <c r="I23" s="49">
        <f>IF(S23=0,"",IF(S23&lt;&gt;S22,INDEX(Escaleta!$F$1:$F$504,S23),IF(S23&lt;&gt;S21,TEXT(INDEX(Escaleta!$C$1:$C$504,S23),"hh:mm")&amp;"–"&amp;TEXT(INDEX(Escaleta!$E$1:$E$504,S23),"hh:mm"),"")))</f>
        <v/>
      </c>
      <c r="L23" s="50">
        <f>IF(OR($A23="",B$6=""),0,SUMPRODUCT(MAX((Escaleta!$A$5:$A$504=$B$4)*(Escaleta!$H$5:$H$504=B$6)*(Escaleta!$K$5:$K$504&lt;&gt;"Cancelada")*(Escaleta!$C$5:$C$504&lt;$A23+Configuración!$C$7/1440)*(Escaleta!$E$5:$E$504&gt;$A23)*ROW(Escaleta!$A$5:$A$504))))</f>
        <v/>
      </c>
      <c r="M23" s="50">
        <f>IF(OR($A23="",C$6=""),0,SUMPRODUCT(MAX((Escaleta!$A$5:$A$504=$B$4)*(Escaleta!$H$5:$H$504=C$6)*(Escaleta!$K$5:$K$504&lt;&gt;"Cancelada")*(Escaleta!$C$5:$C$504&lt;$A23+Configuración!$C$7/1440)*(Escaleta!$E$5:$E$504&gt;$A23)*ROW(Escaleta!$A$5:$A$504))))</f>
        <v/>
      </c>
      <c r="N23" s="50">
        <f>IF(OR($A23="",D$6=""),0,SUMPRODUCT(MAX((Escaleta!$A$5:$A$504=$B$4)*(Escaleta!$H$5:$H$504=D$6)*(Escaleta!$K$5:$K$504&lt;&gt;"Cancelada")*(Escaleta!$C$5:$C$504&lt;$A23+Configuración!$C$7/1440)*(Escaleta!$E$5:$E$504&gt;$A23)*ROW(Escaleta!$A$5:$A$504))))</f>
        <v/>
      </c>
      <c r="O23" s="50">
        <f>IF(OR($A23="",E$6=""),0,SUMPRODUCT(MAX((Escaleta!$A$5:$A$504=$B$4)*(Escaleta!$H$5:$H$504=E$6)*(Escaleta!$K$5:$K$504&lt;&gt;"Cancelada")*(Escaleta!$C$5:$C$504&lt;$A23+Configuración!$C$7/1440)*(Escaleta!$E$5:$E$504&gt;$A23)*ROW(Escaleta!$A$5:$A$504))))</f>
        <v/>
      </c>
      <c r="P23" s="50">
        <f>IF(OR($A23="",F$6=""),0,SUMPRODUCT(MAX((Escaleta!$A$5:$A$504=$B$4)*(Escaleta!$H$5:$H$504=F$6)*(Escaleta!$K$5:$K$504&lt;&gt;"Cancelada")*(Escaleta!$C$5:$C$504&lt;$A23+Configuración!$C$7/1440)*(Escaleta!$E$5:$E$504&gt;$A23)*ROW(Escaleta!$A$5:$A$504))))</f>
        <v/>
      </c>
      <c r="Q23" s="50">
        <f>IF(OR($A23="",G$6=""),0,SUMPRODUCT(MAX((Escaleta!$A$5:$A$504=$B$4)*(Escaleta!$H$5:$H$504=G$6)*(Escaleta!$K$5:$K$504&lt;&gt;"Cancelada")*(Escaleta!$C$5:$C$504&lt;$A23+Configuración!$C$7/1440)*(Escaleta!$E$5:$E$504&gt;$A23)*ROW(Escaleta!$A$5:$A$504))))</f>
        <v/>
      </c>
      <c r="R23" s="50">
        <f>IF(OR($A23="",H$6=""),0,SUMPRODUCT(MAX((Escaleta!$A$5:$A$504=$B$4)*(Escaleta!$H$5:$H$504=H$6)*(Escaleta!$K$5:$K$504&lt;&gt;"Cancelada")*(Escaleta!$C$5:$C$504&lt;$A23+Configuración!$C$7/1440)*(Escaleta!$E$5:$E$504&gt;$A23)*ROW(Escaleta!$A$5:$A$504))))</f>
        <v/>
      </c>
      <c r="S23" s="50">
        <f>IF(OR($A23="",I$6=""),0,SUMPRODUCT(MAX((Escaleta!$A$5:$A$504=$B$4)*(Escaleta!$H$5:$H$504=I$6)*(Escaleta!$K$5:$K$504&lt;&gt;"Cancelada")*(Escaleta!$C$5:$C$504&lt;$A23+Configuración!$C$7/1440)*(Escaleta!$E$5:$E$504&gt;$A23)*ROW(Escaleta!$A$5:$A$504))))</f>
        <v/>
      </c>
      <c r="U23" s="50">
        <f>IF(L23=0,"",INDEX(Escaleta!$I$1:$I$504,L23))</f>
        <v/>
      </c>
      <c r="V23" s="50">
        <f>IF(M23=0,"",INDEX(Escaleta!$I$1:$I$504,M23))</f>
        <v/>
      </c>
      <c r="W23" s="50">
        <f>IF(N23=0,"",INDEX(Escaleta!$I$1:$I$504,N23))</f>
        <v/>
      </c>
      <c r="X23" s="50">
        <f>IF(O23=0,"",INDEX(Escaleta!$I$1:$I$504,O23))</f>
        <v/>
      </c>
      <c r="Y23" s="50">
        <f>IF(P23=0,"",INDEX(Escaleta!$I$1:$I$504,P23))</f>
        <v/>
      </c>
      <c r="Z23" s="50">
        <f>IF(Q23=0,"",INDEX(Escaleta!$I$1:$I$504,Q23))</f>
        <v/>
      </c>
      <c r="AA23" s="50">
        <f>IF(R23=0,"",INDEX(Escaleta!$I$1:$I$504,R23))</f>
        <v/>
      </c>
      <c r="AB23" s="50">
        <f>IF(S23=0,"",INDEX(Escaleta!$I$1:$I$504,S23))</f>
        <v/>
      </c>
    </row>
    <row r="24" ht="18" customHeight="1">
      <c r="A24" s="48">
        <f>IF(A23="","",IF(A23+Configuración!$C$7/1440&gt;Configuración!$C$6-0.0001,"",A23+Configuración!$C$7/1440))</f>
        <v/>
      </c>
      <c r="B24" s="49">
        <f>IF(L24=0,"",IF(L24&lt;&gt;L23,INDEX(Escaleta!$F$1:$F$504,L24),IF(L24&lt;&gt;L22,TEXT(INDEX(Escaleta!$C$1:$C$504,L24),"hh:mm")&amp;"–"&amp;TEXT(INDEX(Escaleta!$E$1:$E$504,L24),"hh:mm"),"")))</f>
        <v/>
      </c>
      <c r="C24" s="49">
        <f>IF(M24=0,"",IF(M24&lt;&gt;M23,INDEX(Escaleta!$F$1:$F$504,M24),IF(M24&lt;&gt;M22,TEXT(INDEX(Escaleta!$C$1:$C$504,M24),"hh:mm")&amp;"–"&amp;TEXT(INDEX(Escaleta!$E$1:$E$504,M24),"hh:mm"),"")))</f>
        <v/>
      </c>
      <c r="D24" s="49">
        <f>IF(N24=0,"",IF(N24&lt;&gt;N23,INDEX(Escaleta!$F$1:$F$504,N24),IF(N24&lt;&gt;N22,TEXT(INDEX(Escaleta!$C$1:$C$504,N24),"hh:mm")&amp;"–"&amp;TEXT(INDEX(Escaleta!$E$1:$E$504,N24),"hh:mm"),"")))</f>
        <v/>
      </c>
      <c r="E24" s="49">
        <f>IF(O24=0,"",IF(O24&lt;&gt;O23,INDEX(Escaleta!$F$1:$F$504,O24),IF(O24&lt;&gt;O22,TEXT(INDEX(Escaleta!$C$1:$C$504,O24),"hh:mm")&amp;"–"&amp;TEXT(INDEX(Escaleta!$E$1:$E$504,O24),"hh:mm"),"")))</f>
        <v/>
      </c>
      <c r="F24" s="49">
        <f>IF(P24=0,"",IF(P24&lt;&gt;P23,INDEX(Escaleta!$F$1:$F$504,P24),IF(P24&lt;&gt;P22,TEXT(INDEX(Escaleta!$C$1:$C$504,P24),"hh:mm")&amp;"–"&amp;TEXT(INDEX(Escaleta!$E$1:$E$504,P24),"hh:mm"),"")))</f>
        <v/>
      </c>
      <c r="G24" s="49">
        <f>IF(Q24=0,"",IF(Q24&lt;&gt;Q23,INDEX(Escaleta!$F$1:$F$504,Q24),IF(Q24&lt;&gt;Q22,TEXT(INDEX(Escaleta!$C$1:$C$504,Q24),"hh:mm")&amp;"–"&amp;TEXT(INDEX(Escaleta!$E$1:$E$504,Q24),"hh:mm"),"")))</f>
        <v/>
      </c>
      <c r="H24" s="49">
        <f>IF(R24=0,"",IF(R24&lt;&gt;R23,INDEX(Escaleta!$F$1:$F$504,R24),IF(R24&lt;&gt;R22,TEXT(INDEX(Escaleta!$C$1:$C$504,R24),"hh:mm")&amp;"–"&amp;TEXT(INDEX(Escaleta!$E$1:$E$504,R24),"hh:mm"),"")))</f>
        <v/>
      </c>
      <c r="I24" s="49">
        <f>IF(S24=0,"",IF(S24&lt;&gt;S23,INDEX(Escaleta!$F$1:$F$504,S24),IF(S24&lt;&gt;S22,TEXT(INDEX(Escaleta!$C$1:$C$504,S24),"hh:mm")&amp;"–"&amp;TEXT(INDEX(Escaleta!$E$1:$E$504,S24),"hh:mm"),"")))</f>
        <v/>
      </c>
      <c r="L24" s="50">
        <f>IF(OR($A24="",B$6=""),0,SUMPRODUCT(MAX((Escaleta!$A$5:$A$504=$B$4)*(Escaleta!$H$5:$H$504=B$6)*(Escaleta!$K$5:$K$504&lt;&gt;"Cancelada")*(Escaleta!$C$5:$C$504&lt;$A24+Configuración!$C$7/1440)*(Escaleta!$E$5:$E$504&gt;$A24)*ROW(Escaleta!$A$5:$A$504))))</f>
        <v/>
      </c>
      <c r="M24" s="50">
        <f>IF(OR($A24="",C$6=""),0,SUMPRODUCT(MAX((Escaleta!$A$5:$A$504=$B$4)*(Escaleta!$H$5:$H$504=C$6)*(Escaleta!$K$5:$K$504&lt;&gt;"Cancelada")*(Escaleta!$C$5:$C$504&lt;$A24+Configuración!$C$7/1440)*(Escaleta!$E$5:$E$504&gt;$A24)*ROW(Escaleta!$A$5:$A$504))))</f>
        <v/>
      </c>
      <c r="N24" s="50">
        <f>IF(OR($A24="",D$6=""),0,SUMPRODUCT(MAX((Escaleta!$A$5:$A$504=$B$4)*(Escaleta!$H$5:$H$504=D$6)*(Escaleta!$K$5:$K$504&lt;&gt;"Cancelada")*(Escaleta!$C$5:$C$504&lt;$A24+Configuración!$C$7/1440)*(Escaleta!$E$5:$E$504&gt;$A24)*ROW(Escaleta!$A$5:$A$504))))</f>
        <v/>
      </c>
      <c r="O24" s="50">
        <f>IF(OR($A24="",E$6=""),0,SUMPRODUCT(MAX((Escaleta!$A$5:$A$504=$B$4)*(Escaleta!$H$5:$H$504=E$6)*(Escaleta!$K$5:$K$504&lt;&gt;"Cancelada")*(Escaleta!$C$5:$C$504&lt;$A24+Configuración!$C$7/1440)*(Escaleta!$E$5:$E$504&gt;$A24)*ROW(Escaleta!$A$5:$A$504))))</f>
        <v/>
      </c>
      <c r="P24" s="50">
        <f>IF(OR($A24="",F$6=""),0,SUMPRODUCT(MAX((Escaleta!$A$5:$A$504=$B$4)*(Escaleta!$H$5:$H$504=F$6)*(Escaleta!$K$5:$K$504&lt;&gt;"Cancelada")*(Escaleta!$C$5:$C$504&lt;$A24+Configuración!$C$7/1440)*(Escaleta!$E$5:$E$504&gt;$A24)*ROW(Escaleta!$A$5:$A$504))))</f>
        <v/>
      </c>
      <c r="Q24" s="50">
        <f>IF(OR($A24="",G$6=""),0,SUMPRODUCT(MAX((Escaleta!$A$5:$A$504=$B$4)*(Escaleta!$H$5:$H$504=G$6)*(Escaleta!$K$5:$K$504&lt;&gt;"Cancelada")*(Escaleta!$C$5:$C$504&lt;$A24+Configuración!$C$7/1440)*(Escaleta!$E$5:$E$504&gt;$A24)*ROW(Escaleta!$A$5:$A$504))))</f>
        <v/>
      </c>
      <c r="R24" s="50">
        <f>IF(OR($A24="",H$6=""),0,SUMPRODUCT(MAX((Escaleta!$A$5:$A$504=$B$4)*(Escaleta!$H$5:$H$504=H$6)*(Escaleta!$K$5:$K$504&lt;&gt;"Cancelada")*(Escaleta!$C$5:$C$504&lt;$A24+Configuración!$C$7/1440)*(Escaleta!$E$5:$E$504&gt;$A24)*ROW(Escaleta!$A$5:$A$504))))</f>
        <v/>
      </c>
      <c r="S24" s="50">
        <f>IF(OR($A24="",I$6=""),0,SUMPRODUCT(MAX((Escaleta!$A$5:$A$504=$B$4)*(Escaleta!$H$5:$H$504=I$6)*(Escaleta!$K$5:$K$504&lt;&gt;"Cancelada")*(Escaleta!$C$5:$C$504&lt;$A24+Configuración!$C$7/1440)*(Escaleta!$E$5:$E$504&gt;$A24)*ROW(Escaleta!$A$5:$A$504))))</f>
        <v/>
      </c>
      <c r="U24" s="50">
        <f>IF(L24=0,"",INDEX(Escaleta!$I$1:$I$504,L24))</f>
        <v/>
      </c>
      <c r="V24" s="50">
        <f>IF(M24=0,"",INDEX(Escaleta!$I$1:$I$504,M24))</f>
        <v/>
      </c>
      <c r="W24" s="50">
        <f>IF(N24=0,"",INDEX(Escaleta!$I$1:$I$504,N24))</f>
        <v/>
      </c>
      <c r="X24" s="50">
        <f>IF(O24=0,"",INDEX(Escaleta!$I$1:$I$504,O24))</f>
        <v/>
      </c>
      <c r="Y24" s="50">
        <f>IF(P24=0,"",INDEX(Escaleta!$I$1:$I$504,P24))</f>
        <v/>
      </c>
      <c r="Z24" s="50">
        <f>IF(Q24=0,"",INDEX(Escaleta!$I$1:$I$504,Q24))</f>
        <v/>
      </c>
      <c r="AA24" s="50">
        <f>IF(R24=0,"",INDEX(Escaleta!$I$1:$I$504,R24))</f>
        <v/>
      </c>
      <c r="AB24" s="50">
        <f>IF(S24=0,"",INDEX(Escaleta!$I$1:$I$504,S24))</f>
        <v/>
      </c>
    </row>
    <row r="25" ht="18" customHeight="1">
      <c r="A25" s="48">
        <f>IF(A24="","",IF(A24+Configuración!$C$7/1440&gt;Configuración!$C$6-0.0001,"",A24+Configuración!$C$7/1440))</f>
        <v/>
      </c>
      <c r="B25" s="49">
        <f>IF(L25=0,"",IF(L25&lt;&gt;L24,INDEX(Escaleta!$F$1:$F$504,L25),IF(L25&lt;&gt;L23,TEXT(INDEX(Escaleta!$C$1:$C$504,L25),"hh:mm")&amp;"–"&amp;TEXT(INDEX(Escaleta!$E$1:$E$504,L25),"hh:mm"),"")))</f>
        <v/>
      </c>
      <c r="C25" s="49">
        <f>IF(M25=0,"",IF(M25&lt;&gt;M24,INDEX(Escaleta!$F$1:$F$504,M25),IF(M25&lt;&gt;M23,TEXT(INDEX(Escaleta!$C$1:$C$504,M25),"hh:mm")&amp;"–"&amp;TEXT(INDEX(Escaleta!$E$1:$E$504,M25),"hh:mm"),"")))</f>
        <v/>
      </c>
      <c r="D25" s="49">
        <f>IF(N25=0,"",IF(N25&lt;&gt;N24,INDEX(Escaleta!$F$1:$F$504,N25),IF(N25&lt;&gt;N23,TEXT(INDEX(Escaleta!$C$1:$C$504,N25),"hh:mm")&amp;"–"&amp;TEXT(INDEX(Escaleta!$E$1:$E$504,N25),"hh:mm"),"")))</f>
        <v/>
      </c>
      <c r="E25" s="49">
        <f>IF(O25=0,"",IF(O25&lt;&gt;O24,INDEX(Escaleta!$F$1:$F$504,O25),IF(O25&lt;&gt;O23,TEXT(INDEX(Escaleta!$C$1:$C$504,O25),"hh:mm")&amp;"–"&amp;TEXT(INDEX(Escaleta!$E$1:$E$504,O25),"hh:mm"),"")))</f>
        <v/>
      </c>
      <c r="F25" s="49">
        <f>IF(P25=0,"",IF(P25&lt;&gt;P24,INDEX(Escaleta!$F$1:$F$504,P25),IF(P25&lt;&gt;P23,TEXT(INDEX(Escaleta!$C$1:$C$504,P25),"hh:mm")&amp;"–"&amp;TEXT(INDEX(Escaleta!$E$1:$E$504,P25),"hh:mm"),"")))</f>
        <v/>
      </c>
      <c r="G25" s="49">
        <f>IF(Q25=0,"",IF(Q25&lt;&gt;Q24,INDEX(Escaleta!$F$1:$F$504,Q25),IF(Q25&lt;&gt;Q23,TEXT(INDEX(Escaleta!$C$1:$C$504,Q25),"hh:mm")&amp;"–"&amp;TEXT(INDEX(Escaleta!$E$1:$E$504,Q25),"hh:mm"),"")))</f>
        <v/>
      </c>
      <c r="H25" s="49">
        <f>IF(R25=0,"",IF(R25&lt;&gt;R24,INDEX(Escaleta!$F$1:$F$504,R25),IF(R25&lt;&gt;R23,TEXT(INDEX(Escaleta!$C$1:$C$504,R25),"hh:mm")&amp;"–"&amp;TEXT(INDEX(Escaleta!$E$1:$E$504,R25),"hh:mm"),"")))</f>
        <v/>
      </c>
      <c r="I25" s="49">
        <f>IF(S25=0,"",IF(S25&lt;&gt;S24,INDEX(Escaleta!$F$1:$F$504,S25),IF(S25&lt;&gt;S23,TEXT(INDEX(Escaleta!$C$1:$C$504,S25),"hh:mm")&amp;"–"&amp;TEXT(INDEX(Escaleta!$E$1:$E$504,S25),"hh:mm"),"")))</f>
        <v/>
      </c>
      <c r="L25" s="50">
        <f>IF(OR($A25="",B$6=""),0,SUMPRODUCT(MAX((Escaleta!$A$5:$A$504=$B$4)*(Escaleta!$H$5:$H$504=B$6)*(Escaleta!$K$5:$K$504&lt;&gt;"Cancelada")*(Escaleta!$C$5:$C$504&lt;$A25+Configuración!$C$7/1440)*(Escaleta!$E$5:$E$504&gt;$A25)*ROW(Escaleta!$A$5:$A$504))))</f>
        <v/>
      </c>
      <c r="M25" s="50">
        <f>IF(OR($A25="",C$6=""),0,SUMPRODUCT(MAX((Escaleta!$A$5:$A$504=$B$4)*(Escaleta!$H$5:$H$504=C$6)*(Escaleta!$K$5:$K$504&lt;&gt;"Cancelada")*(Escaleta!$C$5:$C$504&lt;$A25+Configuración!$C$7/1440)*(Escaleta!$E$5:$E$504&gt;$A25)*ROW(Escaleta!$A$5:$A$504))))</f>
        <v/>
      </c>
      <c r="N25" s="50">
        <f>IF(OR($A25="",D$6=""),0,SUMPRODUCT(MAX((Escaleta!$A$5:$A$504=$B$4)*(Escaleta!$H$5:$H$504=D$6)*(Escaleta!$K$5:$K$504&lt;&gt;"Cancelada")*(Escaleta!$C$5:$C$504&lt;$A25+Configuración!$C$7/1440)*(Escaleta!$E$5:$E$504&gt;$A25)*ROW(Escaleta!$A$5:$A$504))))</f>
        <v/>
      </c>
      <c r="O25" s="50">
        <f>IF(OR($A25="",E$6=""),0,SUMPRODUCT(MAX((Escaleta!$A$5:$A$504=$B$4)*(Escaleta!$H$5:$H$504=E$6)*(Escaleta!$K$5:$K$504&lt;&gt;"Cancelada")*(Escaleta!$C$5:$C$504&lt;$A25+Configuración!$C$7/1440)*(Escaleta!$E$5:$E$504&gt;$A25)*ROW(Escaleta!$A$5:$A$504))))</f>
        <v/>
      </c>
      <c r="P25" s="50">
        <f>IF(OR($A25="",F$6=""),0,SUMPRODUCT(MAX((Escaleta!$A$5:$A$504=$B$4)*(Escaleta!$H$5:$H$504=F$6)*(Escaleta!$K$5:$K$504&lt;&gt;"Cancelada")*(Escaleta!$C$5:$C$504&lt;$A25+Configuración!$C$7/1440)*(Escaleta!$E$5:$E$504&gt;$A25)*ROW(Escaleta!$A$5:$A$504))))</f>
        <v/>
      </c>
      <c r="Q25" s="50">
        <f>IF(OR($A25="",G$6=""),0,SUMPRODUCT(MAX((Escaleta!$A$5:$A$504=$B$4)*(Escaleta!$H$5:$H$504=G$6)*(Escaleta!$K$5:$K$504&lt;&gt;"Cancelada")*(Escaleta!$C$5:$C$504&lt;$A25+Configuración!$C$7/1440)*(Escaleta!$E$5:$E$504&gt;$A25)*ROW(Escaleta!$A$5:$A$504))))</f>
        <v/>
      </c>
      <c r="R25" s="50">
        <f>IF(OR($A25="",H$6=""),0,SUMPRODUCT(MAX((Escaleta!$A$5:$A$504=$B$4)*(Escaleta!$H$5:$H$504=H$6)*(Escaleta!$K$5:$K$504&lt;&gt;"Cancelada")*(Escaleta!$C$5:$C$504&lt;$A25+Configuración!$C$7/1440)*(Escaleta!$E$5:$E$504&gt;$A25)*ROW(Escaleta!$A$5:$A$504))))</f>
        <v/>
      </c>
      <c r="S25" s="50">
        <f>IF(OR($A25="",I$6=""),0,SUMPRODUCT(MAX((Escaleta!$A$5:$A$504=$B$4)*(Escaleta!$H$5:$H$504=I$6)*(Escaleta!$K$5:$K$504&lt;&gt;"Cancelada")*(Escaleta!$C$5:$C$504&lt;$A25+Configuración!$C$7/1440)*(Escaleta!$E$5:$E$504&gt;$A25)*ROW(Escaleta!$A$5:$A$504))))</f>
        <v/>
      </c>
      <c r="U25" s="50">
        <f>IF(L25=0,"",INDEX(Escaleta!$I$1:$I$504,L25))</f>
        <v/>
      </c>
      <c r="V25" s="50">
        <f>IF(M25=0,"",INDEX(Escaleta!$I$1:$I$504,M25))</f>
        <v/>
      </c>
      <c r="W25" s="50">
        <f>IF(N25=0,"",INDEX(Escaleta!$I$1:$I$504,N25))</f>
        <v/>
      </c>
      <c r="X25" s="50">
        <f>IF(O25=0,"",INDEX(Escaleta!$I$1:$I$504,O25))</f>
        <v/>
      </c>
      <c r="Y25" s="50">
        <f>IF(P25=0,"",INDEX(Escaleta!$I$1:$I$504,P25))</f>
        <v/>
      </c>
      <c r="Z25" s="50">
        <f>IF(Q25=0,"",INDEX(Escaleta!$I$1:$I$504,Q25))</f>
        <v/>
      </c>
      <c r="AA25" s="50">
        <f>IF(R25=0,"",INDEX(Escaleta!$I$1:$I$504,R25))</f>
        <v/>
      </c>
      <c r="AB25" s="50">
        <f>IF(S25=0,"",INDEX(Escaleta!$I$1:$I$504,S25))</f>
        <v/>
      </c>
    </row>
    <row r="26" ht="18" customHeight="1">
      <c r="A26" s="48">
        <f>IF(A25="","",IF(A25+Configuración!$C$7/1440&gt;Configuración!$C$6-0.0001,"",A25+Configuración!$C$7/1440))</f>
        <v/>
      </c>
      <c r="B26" s="49">
        <f>IF(L26=0,"",IF(L26&lt;&gt;L25,INDEX(Escaleta!$F$1:$F$504,L26),IF(L26&lt;&gt;L24,TEXT(INDEX(Escaleta!$C$1:$C$504,L26),"hh:mm")&amp;"–"&amp;TEXT(INDEX(Escaleta!$E$1:$E$504,L26),"hh:mm"),"")))</f>
        <v/>
      </c>
      <c r="C26" s="49">
        <f>IF(M26=0,"",IF(M26&lt;&gt;M25,INDEX(Escaleta!$F$1:$F$504,M26),IF(M26&lt;&gt;M24,TEXT(INDEX(Escaleta!$C$1:$C$504,M26),"hh:mm")&amp;"–"&amp;TEXT(INDEX(Escaleta!$E$1:$E$504,M26),"hh:mm"),"")))</f>
        <v/>
      </c>
      <c r="D26" s="49">
        <f>IF(N26=0,"",IF(N26&lt;&gt;N25,INDEX(Escaleta!$F$1:$F$504,N26),IF(N26&lt;&gt;N24,TEXT(INDEX(Escaleta!$C$1:$C$504,N26),"hh:mm")&amp;"–"&amp;TEXT(INDEX(Escaleta!$E$1:$E$504,N26),"hh:mm"),"")))</f>
        <v/>
      </c>
      <c r="E26" s="49">
        <f>IF(O26=0,"",IF(O26&lt;&gt;O25,INDEX(Escaleta!$F$1:$F$504,O26),IF(O26&lt;&gt;O24,TEXT(INDEX(Escaleta!$C$1:$C$504,O26),"hh:mm")&amp;"–"&amp;TEXT(INDEX(Escaleta!$E$1:$E$504,O26),"hh:mm"),"")))</f>
        <v/>
      </c>
      <c r="F26" s="49">
        <f>IF(P26=0,"",IF(P26&lt;&gt;P25,INDEX(Escaleta!$F$1:$F$504,P26),IF(P26&lt;&gt;P24,TEXT(INDEX(Escaleta!$C$1:$C$504,P26),"hh:mm")&amp;"–"&amp;TEXT(INDEX(Escaleta!$E$1:$E$504,P26),"hh:mm"),"")))</f>
        <v/>
      </c>
      <c r="G26" s="49">
        <f>IF(Q26=0,"",IF(Q26&lt;&gt;Q25,INDEX(Escaleta!$F$1:$F$504,Q26),IF(Q26&lt;&gt;Q24,TEXT(INDEX(Escaleta!$C$1:$C$504,Q26),"hh:mm")&amp;"–"&amp;TEXT(INDEX(Escaleta!$E$1:$E$504,Q26),"hh:mm"),"")))</f>
        <v/>
      </c>
      <c r="H26" s="49">
        <f>IF(R26=0,"",IF(R26&lt;&gt;R25,INDEX(Escaleta!$F$1:$F$504,R26),IF(R26&lt;&gt;R24,TEXT(INDEX(Escaleta!$C$1:$C$504,R26),"hh:mm")&amp;"–"&amp;TEXT(INDEX(Escaleta!$E$1:$E$504,R26),"hh:mm"),"")))</f>
        <v/>
      </c>
      <c r="I26" s="49">
        <f>IF(S26=0,"",IF(S26&lt;&gt;S25,INDEX(Escaleta!$F$1:$F$504,S26),IF(S26&lt;&gt;S24,TEXT(INDEX(Escaleta!$C$1:$C$504,S26),"hh:mm")&amp;"–"&amp;TEXT(INDEX(Escaleta!$E$1:$E$504,S26),"hh:mm"),"")))</f>
        <v/>
      </c>
      <c r="L26" s="50">
        <f>IF(OR($A26="",B$6=""),0,SUMPRODUCT(MAX((Escaleta!$A$5:$A$504=$B$4)*(Escaleta!$H$5:$H$504=B$6)*(Escaleta!$K$5:$K$504&lt;&gt;"Cancelada")*(Escaleta!$C$5:$C$504&lt;$A26+Configuración!$C$7/1440)*(Escaleta!$E$5:$E$504&gt;$A26)*ROW(Escaleta!$A$5:$A$504))))</f>
        <v/>
      </c>
      <c r="M26" s="50">
        <f>IF(OR($A26="",C$6=""),0,SUMPRODUCT(MAX((Escaleta!$A$5:$A$504=$B$4)*(Escaleta!$H$5:$H$504=C$6)*(Escaleta!$K$5:$K$504&lt;&gt;"Cancelada")*(Escaleta!$C$5:$C$504&lt;$A26+Configuración!$C$7/1440)*(Escaleta!$E$5:$E$504&gt;$A26)*ROW(Escaleta!$A$5:$A$504))))</f>
        <v/>
      </c>
      <c r="N26" s="50">
        <f>IF(OR($A26="",D$6=""),0,SUMPRODUCT(MAX((Escaleta!$A$5:$A$504=$B$4)*(Escaleta!$H$5:$H$504=D$6)*(Escaleta!$K$5:$K$504&lt;&gt;"Cancelada")*(Escaleta!$C$5:$C$504&lt;$A26+Configuración!$C$7/1440)*(Escaleta!$E$5:$E$504&gt;$A26)*ROW(Escaleta!$A$5:$A$504))))</f>
        <v/>
      </c>
      <c r="O26" s="50">
        <f>IF(OR($A26="",E$6=""),0,SUMPRODUCT(MAX((Escaleta!$A$5:$A$504=$B$4)*(Escaleta!$H$5:$H$504=E$6)*(Escaleta!$K$5:$K$504&lt;&gt;"Cancelada")*(Escaleta!$C$5:$C$504&lt;$A26+Configuración!$C$7/1440)*(Escaleta!$E$5:$E$504&gt;$A26)*ROW(Escaleta!$A$5:$A$504))))</f>
        <v/>
      </c>
      <c r="P26" s="50">
        <f>IF(OR($A26="",F$6=""),0,SUMPRODUCT(MAX((Escaleta!$A$5:$A$504=$B$4)*(Escaleta!$H$5:$H$504=F$6)*(Escaleta!$K$5:$K$504&lt;&gt;"Cancelada")*(Escaleta!$C$5:$C$504&lt;$A26+Configuración!$C$7/1440)*(Escaleta!$E$5:$E$504&gt;$A26)*ROW(Escaleta!$A$5:$A$504))))</f>
        <v/>
      </c>
      <c r="Q26" s="50">
        <f>IF(OR($A26="",G$6=""),0,SUMPRODUCT(MAX((Escaleta!$A$5:$A$504=$B$4)*(Escaleta!$H$5:$H$504=G$6)*(Escaleta!$K$5:$K$504&lt;&gt;"Cancelada")*(Escaleta!$C$5:$C$504&lt;$A26+Configuración!$C$7/1440)*(Escaleta!$E$5:$E$504&gt;$A26)*ROW(Escaleta!$A$5:$A$504))))</f>
        <v/>
      </c>
      <c r="R26" s="50">
        <f>IF(OR($A26="",H$6=""),0,SUMPRODUCT(MAX((Escaleta!$A$5:$A$504=$B$4)*(Escaleta!$H$5:$H$504=H$6)*(Escaleta!$K$5:$K$504&lt;&gt;"Cancelada")*(Escaleta!$C$5:$C$504&lt;$A26+Configuración!$C$7/1440)*(Escaleta!$E$5:$E$504&gt;$A26)*ROW(Escaleta!$A$5:$A$504))))</f>
        <v/>
      </c>
      <c r="S26" s="50">
        <f>IF(OR($A26="",I$6=""),0,SUMPRODUCT(MAX((Escaleta!$A$5:$A$504=$B$4)*(Escaleta!$H$5:$H$504=I$6)*(Escaleta!$K$5:$K$504&lt;&gt;"Cancelada")*(Escaleta!$C$5:$C$504&lt;$A26+Configuración!$C$7/1440)*(Escaleta!$E$5:$E$504&gt;$A26)*ROW(Escaleta!$A$5:$A$504))))</f>
        <v/>
      </c>
      <c r="U26" s="50">
        <f>IF(L26=0,"",INDEX(Escaleta!$I$1:$I$504,L26))</f>
        <v/>
      </c>
      <c r="V26" s="50">
        <f>IF(M26=0,"",INDEX(Escaleta!$I$1:$I$504,M26))</f>
        <v/>
      </c>
      <c r="W26" s="50">
        <f>IF(N26=0,"",INDEX(Escaleta!$I$1:$I$504,N26))</f>
        <v/>
      </c>
      <c r="X26" s="50">
        <f>IF(O26=0,"",INDEX(Escaleta!$I$1:$I$504,O26))</f>
        <v/>
      </c>
      <c r="Y26" s="50">
        <f>IF(P26=0,"",INDEX(Escaleta!$I$1:$I$504,P26))</f>
        <v/>
      </c>
      <c r="Z26" s="50">
        <f>IF(Q26=0,"",INDEX(Escaleta!$I$1:$I$504,Q26))</f>
        <v/>
      </c>
      <c r="AA26" s="50">
        <f>IF(R26=0,"",INDEX(Escaleta!$I$1:$I$504,R26))</f>
        <v/>
      </c>
      <c r="AB26" s="50">
        <f>IF(S26=0,"",INDEX(Escaleta!$I$1:$I$504,S26))</f>
        <v/>
      </c>
    </row>
    <row r="27" ht="18" customHeight="1">
      <c r="A27" s="48">
        <f>IF(A26="","",IF(A26+Configuración!$C$7/1440&gt;Configuración!$C$6-0.0001,"",A26+Configuración!$C$7/1440))</f>
        <v/>
      </c>
      <c r="B27" s="49">
        <f>IF(L27=0,"",IF(L27&lt;&gt;L26,INDEX(Escaleta!$F$1:$F$504,L27),IF(L27&lt;&gt;L25,TEXT(INDEX(Escaleta!$C$1:$C$504,L27),"hh:mm")&amp;"–"&amp;TEXT(INDEX(Escaleta!$E$1:$E$504,L27),"hh:mm"),"")))</f>
        <v/>
      </c>
      <c r="C27" s="49">
        <f>IF(M27=0,"",IF(M27&lt;&gt;M26,INDEX(Escaleta!$F$1:$F$504,M27),IF(M27&lt;&gt;M25,TEXT(INDEX(Escaleta!$C$1:$C$504,M27),"hh:mm")&amp;"–"&amp;TEXT(INDEX(Escaleta!$E$1:$E$504,M27),"hh:mm"),"")))</f>
        <v/>
      </c>
      <c r="D27" s="49">
        <f>IF(N27=0,"",IF(N27&lt;&gt;N26,INDEX(Escaleta!$F$1:$F$504,N27),IF(N27&lt;&gt;N25,TEXT(INDEX(Escaleta!$C$1:$C$504,N27),"hh:mm")&amp;"–"&amp;TEXT(INDEX(Escaleta!$E$1:$E$504,N27),"hh:mm"),"")))</f>
        <v/>
      </c>
      <c r="E27" s="49">
        <f>IF(O27=0,"",IF(O27&lt;&gt;O26,INDEX(Escaleta!$F$1:$F$504,O27),IF(O27&lt;&gt;O25,TEXT(INDEX(Escaleta!$C$1:$C$504,O27),"hh:mm")&amp;"–"&amp;TEXT(INDEX(Escaleta!$E$1:$E$504,O27),"hh:mm"),"")))</f>
        <v/>
      </c>
      <c r="F27" s="49">
        <f>IF(P27=0,"",IF(P27&lt;&gt;P26,INDEX(Escaleta!$F$1:$F$504,P27),IF(P27&lt;&gt;P25,TEXT(INDEX(Escaleta!$C$1:$C$504,P27),"hh:mm")&amp;"–"&amp;TEXT(INDEX(Escaleta!$E$1:$E$504,P27),"hh:mm"),"")))</f>
        <v/>
      </c>
      <c r="G27" s="49">
        <f>IF(Q27=0,"",IF(Q27&lt;&gt;Q26,INDEX(Escaleta!$F$1:$F$504,Q27),IF(Q27&lt;&gt;Q25,TEXT(INDEX(Escaleta!$C$1:$C$504,Q27),"hh:mm")&amp;"–"&amp;TEXT(INDEX(Escaleta!$E$1:$E$504,Q27),"hh:mm"),"")))</f>
        <v/>
      </c>
      <c r="H27" s="49">
        <f>IF(R27=0,"",IF(R27&lt;&gt;R26,INDEX(Escaleta!$F$1:$F$504,R27),IF(R27&lt;&gt;R25,TEXT(INDEX(Escaleta!$C$1:$C$504,R27),"hh:mm")&amp;"–"&amp;TEXT(INDEX(Escaleta!$E$1:$E$504,R27),"hh:mm"),"")))</f>
        <v/>
      </c>
      <c r="I27" s="49">
        <f>IF(S27=0,"",IF(S27&lt;&gt;S26,INDEX(Escaleta!$F$1:$F$504,S27),IF(S27&lt;&gt;S25,TEXT(INDEX(Escaleta!$C$1:$C$504,S27),"hh:mm")&amp;"–"&amp;TEXT(INDEX(Escaleta!$E$1:$E$504,S27),"hh:mm"),"")))</f>
        <v/>
      </c>
      <c r="L27" s="50">
        <f>IF(OR($A27="",B$6=""),0,SUMPRODUCT(MAX((Escaleta!$A$5:$A$504=$B$4)*(Escaleta!$H$5:$H$504=B$6)*(Escaleta!$K$5:$K$504&lt;&gt;"Cancelada")*(Escaleta!$C$5:$C$504&lt;$A27+Configuración!$C$7/1440)*(Escaleta!$E$5:$E$504&gt;$A27)*ROW(Escaleta!$A$5:$A$504))))</f>
        <v/>
      </c>
      <c r="M27" s="50">
        <f>IF(OR($A27="",C$6=""),0,SUMPRODUCT(MAX((Escaleta!$A$5:$A$504=$B$4)*(Escaleta!$H$5:$H$504=C$6)*(Escaleta!$K$5:$K$504&lt;&gt;"Cancelada")*(Escaleta!$C$5:$C$504&lt;$A27+Configuración!$C$7/1440)*(Escaleta!$E$5:$E$504&gt;$A27)*ROW(Escaleta!$A$5:$A$504))))</f>
        <v/>
      </c>
      <c r="N27" s="50">
        <f>IF(OR($A27="",D$6=""),0,SUMPRODUCT(MAX((Escaleta!$A$5:$A$504=$B$4)*(Escaleta!$H$5:$H$504=D$6)*(Escaleta!$K$5:$K$504&lt;&gt;"Cancelada")*(Escaleta!$C$5:$C$504&lt;$A27+Configuración!$C$7/1440)*(Escaleta!$E$5:$E$504&gt;$A27)*ROW(Escaleta!$A$5:$A$504))))</f>
        <v/>
      </c>
      <c r="O27" s="50">
        <f>IF(OR($A27="",E$6=""),0,SUMPRODUCT(MAX((Escaleta!$A$5:$A$504=$B$4)*(Escaleta!$H$5:$H$504=E$6)*(Escaleta!$K$5:$K$504&lt;&gt;"Cancelada")*(Escaleta!$C$5:$C$504&lt;$A27+Configuración!$C$7/1440)*(Escaleta!$E$5:$E$504&gt;$A27)*ROW(Escaleta!$A$5:$A$504))))</f>
        <v/>
      </c>
      <c r="P27" s="50">
        <f>IF(OR($A27="",F$6=""),0,SUMPRODUCT(MAX((Escaleta!$A$5:$A$504=$B$4)*(Escaleta!$H$5:$H$504=F$6)*(Escaleta!$K$5:$K$504&lt;&gt;"Cancelada")*(Escaleta!$C$5:$C$504&lt;$A27+Configuración!$C$7/1440)*(Escaleta!$E$5:$E$504&gt;$A27)*ROW(Escaleta!$A$5:$A$504))))</f>
        <v/>
      </c>
      <c r="Q27" s="50">
        <f>IF(OR($A27="",G$6=""),0,SUMPRODUCT(MAX((Escaleta!$A$5:$A$504=$B$4)*(Escaleta!$H$5:$H$504=G$6)*(Escaleta!$K$5:$K$504&lt;&gt;"Cancelada")*(Escaleta!$C$5:$C$504&lt;$A27+Configuración!$C$7/1440)*(Escaleta!$E$5:$E$504&gt;$A27)*ROW(Escaleta!$A$5:$A$504))))</f>
        <v/>
      </c>
      <c r="R27" s="50">
        <f>IF(OR($A27="",H$6=""),0,SUMPRODUCT(MAX((Escaleta!$A$5:$A$504=$B$4)*(Escaleta!$H$5:$H$504=H$6)*(Escaleta!$K$5:$K$504&lt;&gt;"Cancelada")*(Escaleta!$C$5:$C$504&lt;$A27+Configuración!$C$7/1440)*(Escaleta!$E$5:$E$504&gt;$A27)*ROW(Escaleta!$A$5:$A$504))))</f>
        <v/>
      </c>
      <c r="S27" s="50">
        <f>IF(OR($A27="",I$6=""),0,SUMPRODUCT(MAX((Escaleta!$A$5:$A$504=$B$4)*(Escaleta!$H$5:$H$504=I$6)*(Escaleta!$K$5:$K$504&lt;&gt;"Cancelada")*(Escaleta!$C$5:$C$504&lt;$A27+Configuración!$C$7/1440)*(Escaleta!$E$5:$E$504&gt;$A27)*ROW(Escaleta!$A$5:$A$504))))</f>
        <v/>
      </c>
      <c r="U27" s="50">
        <f>IF(L27=0,"",INDEX(Escaleta!$I$1:$I$504,L27))</f>
        <v/>
      </c>
      <c r="V27" s="50">
        <f>IF(M27=0,"",INDEX(Escaleta!$I$1:$I$504,M27))</f>
        <v/>
      </c>
      <c r="W27" s="50">
        <f>IF(N27=0,"",INDEX(Escaleta!$I$1:$I$504,N27))</f>
        <v/>
      </c>
      <c r="X27" s="50">
        <f>IF(O27=0,"",INDEX(Escaleta!$I$1:$I$504,O27))</f>
        <v/>
      </c>
      <c r="Y27" s="50">
        <f>IF(P27=0,"",INDEX(Escaleta!$I$1:$I$504,P27))</f>
        <v/>
      </c>
      <c r="Z27" s="50">
        <f>IF(Q27=0,"",INDEX(Escaleta!$I$1:$I$504,Q27))</f>
        <v/>
      </c>
      <c r="AA27" s="50">
        <f>IF(R27=0,"",INDEX(Escaleta!$I$1:$I$504,R27))</f>
        <v/>
      </c>
      <c r="AB27" s="50">
        <f>IF(S27=0,"",INDEX(Escaleta!$I$1:$I$504,S27))</f>
        <v/>
      </c>
    </row>
    <row r="28" ht="18" customHeight="1">
      <c r="A28" s="48">
        <f>IF(A27="","",IF(A27+Configuración!$C$7/1440&gt;Configuración!$C$6-0.0001,"",A27+Configuración!$C$7/1440))</f>
        <v/>
      </c>
      <c r="B28" s="49">
        <f>IF(L28=0,"",IF(L28&lt;&gt;L27,INDEX(Escaleta!$F$1:$F$504,L28),IF(L28&lt;&gt;L26,TEXT(INDEX(Escaleta!$C$1:$C$504,L28),"hh:mm")&amp;"–"&amp;TEXT(INDEX(Escaleta!$E$1:$E$504,L28),"hh:mm"),"")))</f>
        <v/>
      </c>
      <c r="C28" s="49">
        <f>IF(M28=0,"",IF(M28&lt;&gt;M27,INDEX(Escaleta!$F$1:$F$504,M28),IF(M28&lt;&gt;M26,TEXT(INDEX(Escaleta!$C$1:$C$504,M28),"hh:mm")&amp;"–"&amp;TEXT(INDEX(Escaleta!$E$1:$E$504,M28),"hh:mm"),"")))</f>
        <v/>
      </c>
      <c r="D28" s="49">
        <f>IF(N28=0,"",IF(N28&lt;&gt;N27,INDEX(Escaleta!$F$1:$F$504,N28),IF(N28&lt;&gt;N26,TEXT(INDEX(Escaleta!$C$1:$C$504,N28),"hh:mm")&amp;"–"&amp;TEXT(INDEX(Escaleta!$E$1:$E$504,N28),"hh:mm"),"")))</f>
        <v/>
      </c>
      <c r="E28" s="49">
        <f>IF(O28=0,"",IF(O28&lt;&gt;O27,INDEX(Escaleta!$F$1:$F$504,O28),IF(O28&lt;&gt;O26,TEXT(INDEX(Escaleta!$C$1:$C$504,O28),"hh:mm")&amp;"–"&amp;TEXT(INDEX(Escaleta!$E$1:$E$504,O28),"hh:mm"),"")))</f>
        <v/>
      </c>
      <c r="F28" s="49">
        <f>IF(P28=0,"",IF(P28&lt;&gt;P27,INDEX(Escaleta!$F$1:$F$504,P28),IF(P28&lt;&gt;P26,TEXT(INDEX(Escaleta!$C$1:$C$504,P28),"hh:mm")&amp;"–"&amp;TEXT(INDEX(Escaleta!$E$1:$E$504,P28),"hh:mm"),"")))</f>
        <v/>
      </c>
      <c r="G28" s="49">
        <f>IF(Q28=0,"",IF(Q28&lt;&gt;Q27,INDEX(Escaleta!$F$1:$F$504,Q28),IF(Q28&lt;&gt;Q26,TEXT(INDEX(Escaleta!$C$1:$C$504,Q28),"hh:mm")&amp;"–"&amp;TEXT(INDEX(Escaleta!$E$1:$E$504,Q28),"hh:mm"),"")))</f>
        <v/>
      </c>
      <c r="H28" s="49">
        <f>IF(R28=0,"",IF(R28&lt;&gt;R27,INDEX(Escaleta!$F$1:$F$504,R28),IF(R28&lt;&gt;R26,TEXT(INDEX(Escaleta!$C$1:$C$504,R28),"hh:mm")&amp;"–"&amp;TEXT(INDEX(Escaleta!$E$1:$E$504,R28),"hh:mm"),"")))</f>
        <v/>
      </c>
      <c r="I28" s="49">
        <f>IF(S28=0,"",IF(S28&lt;&gt;S27,INDEX(Escaleta!$F$1:$F$504,S28),IF(S28&lt;&gt;S26,TEXT(INDEX(Escaleta!$C$1:$C$504,S28),"hh:mm")&amp;"–"&amp;TEXT(INDEX(Escaleta!$E$1:$E$504,S28),"hh:mm"),"")))</f>
        <v/>
      </c>
      <c r="L28" s="50">
        <f>IF(OR($A28="",B$6=""),0,SUMPRODUCT(MAX((Escaleta!$A$5:$A$504=$B$4)*(Escaleta!$H$5:$H$504=B$6)*(Escaleta!$K$5:$K$504&lt;&gt;"Cancelada")*(Escaleta!$C$5:$C$504&lt;$A28+Configuración!$C$7/1440)*(Escaleta!$E$5:$E$504&gt;$A28)*ROW(Escaleta!$A$5:$A$504))))</f>
        <v/>
      </c>
      <c r="M28" s="50">
        <f>IF(OR($A28="",C$6=""),0,SUMPRODUCT(MAX((Escaleta!$A$5:$A$504=$B$4)*(Escaleta!$H$5:$H$504=C$6)*(Escaleta!$K$5:$K$504&lt;&gt;"Cancelada")*(Escaleta!$C$5:$C$504&lt;$A28+Configuración!$C$7/1440)*(Escaleta!$E$5:$E$504&gt;$A28)*ROW(Escaleta!$A$5:$A$504))))</f>
        <v/>
      </c>
      <c r="N28" s="50">
        <f>IF(OR($A28="",D$6=""),0,SUMPRODUCT(MAX((Escaleta!$A$5:$A$504=$B$4)*(Escaleta!$H$5:$H$504=D$6)*(Escaleta!$K$5:$K$504&lt;&gt;"Cancelada")*(Escaleta!$C$5:$C$504&lt;$A28+Configuración!$C$7/1440)*(Escaleta!$E$5:$E$504&gt;$A28)*ROW(Escaleta!$A$5:$A$504))))</f>
        <v/>
      </c>
      <c r="O28" s="50">
        <f>IF(OR($A28="",E$6=""),0,SUMPRODUCT(MAX((Escaleta!$A$5:$A$504=$B$4)*(Escaleta!$H$5:$H$504=E$6)*(Escaleta!$K$5:$K$504&lt;&gt;"Cancelada")*(Escaleta!$C$5:$C$504&lt;$A28+Configuración!$C$7/1440)*(Escaleta!$E$5:$E$504&gt;$A28)*ROW(Escaleta!$A$5:$A$504))))</f>
        <v/>
      </c>
      <c r="P28" s="50">
        <f>IF(OR($A28="",F$6=""),0,SUMPRODUCT(MAX((Escaleta!$A$5:$A$504=$B$4)*(Escaleta!$H$5:$H$504=F$6)*(Escaleta!$K$5:$K$504&lt;&gt;"Cancelada")*(Escaleta!$C$5:$C$504&lt;$A28+Configuración!$C$7/1440)*(Escaleta!$E$5:$E$504&gt;$A28)*ROW(Escaleta!$A$5:$A$504))))</f>
        <v/>
      </c>
      <c r="Q28" s="50">
        <f>IF(OR($A28="",G$6=""),0,SUMPRODUCT(MAX((Escaleta!$A$5:$A$504=$B$4)*(Escaleta!$H$5:$H$504=G$6)*(Escaleta!$K$5:$K$504&lt;&gt;"Cancelada")*(Escaleta!$C$5:$C$504&lt;$A28+Configuración!$C$7/1440)*(Escaleta!$E$5:$E$504&gt;$A28)*ROW(Escaleta!$A$5:$A$504))))</f>
        <v/>
      </c>
      <c r="R28" s="50">
        <f>IF(OR($A28="",H$6=""),0,SUMPRODUCT(MAX((Escaleta!$A$5:$A$504=$B$4)*(Escaleta!$H$5:$H$504=H$6)*(Escaleta!$K$5:$K$504&lt;&gt;"Cancelada")*(Escaleta!$C$5:$C$504&lt;$A28+Configuración!$C$7/1440)*(Escaleta!$E$5:$E$504&gt;$A28)*ROW(Escaleta!$A$5:$A$504))))</f>
        <v/>
      </c>
      <c r="S28" s="50">
        <f>IF(OR($A28="",I$6=""),0,SUMPRODUCT(MAX((Escaleta!$A$5:$A$504=$B$4)*(Escaleta!$H$5:$H$504=I$6)*(Escaleta!$K$5:$K$504&lt;&gt;"Cancelada")*(Escaleta!$C$5:$C$504&lt;$A28+Configuración!$C$7/1440)*(Escaleta!$E$5:$E$504&gt;$A28)*ROW(Escaleta!$A$5:$A$504))))</f>
        <v/>
      </c>
      <c r="U28" s="50">
        <f>IF(L28=0,"",INDEX(Escaleta!$I$1:$I$504,L28))</f>
        <v/>
      </c>
      <c r="V28" s="50">
        <f>IF(M28=0,"",INDEX(Escaleta!$I$1:$I$504,M28))</f>
        <v/>
      </c>
      <c r="W28" s="50">
        <f>IF(N28=0,"",INDEX(Escaleta!$I$1:$I$504,N28))</f>
        <v/>
      </c>
      <c r="X28" s="50">
        <f>IF(O28=0,"",INDEX(Escaleta!$I$1:$I$504,O28))</f>
        <v/>
      </c>
      <c r="Y28" s="50">
        <f>IF(P28=0,"",INDEX(Escaleta!$I$1:$I$504,P28))</f>
        <v/>
      </c>
      <c r="Z28" s="50">
        <f>IF(Q28=0,"",INDEX(Escaleta!$I$1:$I$504,Q28))</f>
        <v/>
      </c>
      <c r="AA28" s="50">
        <f>IF(R28=0,"",INDEX(Escaleta!$I$1:$I$504,R28))</f>
        <v/>
      </c>
      <c r="AB28" s="50">
        <f>IF(S28=0,"",INDEX(Escaleta!$I$1:$I$504,S28))</f>
        <v/>
      </c>
    </row>
    <row r="29" ht="18" customHeight="1">
      <c r="A29" s="48">
        <f>IF(A28="","",IF(A28+Configuración!$C$7/1440&gt;Configuración!$C$6-0.0001,"",A28+Configuración!$C$7/1440))</f>
        <v/>
      </c>
      <c r="B29" s="49">
        <f>IF(L29=0,"",IF(L29&lt;&gt;L28,INDEX(Escaleta!$F$1:$F$504,L29),IF(L29&lt;&gt;L27,TEXT(INDEX(Escaleta!$C$1:$C$504,L29),"hh:mm")&amp;"–"&amp;TEXT(INDEX(Escaleta!$E$1:$E$504,L29),"hh:mm"),"")))</f>
        <v/>
      </c>
      <c r="C29" s="49">
        <f>IF(M29=0,"",IF(M29&lt;&gt;M28,INDEX(Escaleta!$F$1:$F$504,M29),IF(M29&lt;&gt;M27,TEXT(INDEX(Escaleta!$C$1:$C$504,M29),"hh:mm")&amp;"–"&amp;TEXT(INDEX(Escaleta!$E$1:$E$504,M29),"hh:mm"),"")))</f>
        <v/>
      </c>
      <c r="D29" s="49">
        <f>IF(N29=0,"",IF(N29&lt;&gt;N28,INDEX(Escaleta!$F$1:$F$504,N29),IF(N29&lt;&gt;N27,TEXT(INDEX(Escaleta!$C$1:$C$504,N29),"hh:mm")&amp;"–"&amp;TEXT(INDEX(Escaleta!$E$1:$E$504,N29),"hh:mm"),"")))</f>
        <v/>
      </c>
      <c r="E29" s="49">
        <f>IF(O29=0,"",IF(O29&lt;&gt;O28,INDEX(Escaleta!$F$1:$F$504,O29),IF(O29&lt;&gt;O27,TEXT(INDEX(Escaleta!$C$1:$C$504,O29),"hh:mm")&amp;"–"&amp;TEXT(INDEX(Escaleta!$E$1:$E$504,O29),"hh:mm"),"")))</f>
        <v/>
      </c>
      <c r="F29" s="49">
        <f>IF(P29=0,"",IF(P29&lt;&gt;P28,INDEX(Escaleta!$F$1:$F$504,P29),IF(P29&lt;&gt;P27,TEXT(INDEX(Escaleta!$C$1:$C$504,P29),"hh:mm")&amp;"–"&amp;TEXT(INDEX(Escaleta!$E$1:$E$504,P29),"hh:mm"),"")))</f>
        <v/>
      </c>
      <c r="G29" s="49">
        <f>IF(Q29=0,"",IF(Q29&lt;&gt;Q28,INDEX(Escaleta!$F$1:$F$504,Q29),IF(Q29&lt;&gt;Q27,TEXT(INDEX(Escaleta!$C$1:$C$504,Q29),"hh:mm")&amp;"–"&amp;TEXT(INDEX(Escaleta!$E$1:$E$504,Q29),"hh:mm"),"")))</f>
        <v/>
      </c>
      <c r="H29" s="49">
        <f>IF(R29=0,"",IF(R29&lt;&gt;R28,INDEX(Escaleta!$F$1:$F$504,R29),IF(R29&lt;&gt;R27,TEXT(INDEX(Escaleta!$C$1:$C$504,R29),"hh:mm")&amp;"–"&amp;TEXT(INDEX(Escaleta!$E$1:$E$504,R29),"hh:mm"),"")))</f>
        <v/>
      </c>
      <c r="I29" s="49">
        <f>IF(S29=0,"",IF(S29&lt;&gt;S28,INDEX(Escaleta!$F$1:$F$504,S29),IF(S29&lt;&gt;S27,TEXT(INDEX(Escaleta!$C$1:$C$504,S29),"hh:mm")&amp;"–"&amp;TEXT(INDEX(Escaleta!$E$1:$E$504,S29),"hh:mm"),"")))</f>
        <v/>
      </c>
      <c r="L29" s="50">
        <f>IF(OR($A29="",B$6=""),0,SUMPRODUCT(MAX((Escaleta!$A$5:$A$504=$B$4)*(Escaleta!$H$5:$H$504=B$6)*(Escaleta!$K$5:$K$504&lt;&gt;"Cancelada")*(Escaleta!$C$5:$C$504&lt;$A29+Configuración!$C$7/1440)*(Escaleta!$E$5:$E$504&gt;$A29)*ROW(Escaleta!$A$5:$A$504))))</f>
        <v/>
      </c>
      <c r="M29" s="50">
        <f>IF(OR($A29="",C$6=""),0,SUMPRODUCT(MAX((Escaleta!$A$5:$A$504=$B$4)*(Escaleta!$H$5:$H$504=C$6)*(Escaleta!$K$5:$K$504&lt;&gt;"Cancelada")*(Escaleta!$C$5:$C$504&lt;$A29+Configuración!$C$7/1440)*(Escaleta!$E$5:$E$504&gt;$A29)*ROW(Escaleta!$A$5:$A$504))))</f>
        <v/>
      </c>
      <c r="N29" s="50">
        <f>IF(OR($A29="",D$6=""),0,SUMPRODUCT(MAX((Escaleta!$A$5:$A$504=$B$4)*(Escaleta!$H$5:$H$504=D$6)*(Escaleta!$K$5:$K$504&lt;&gt;"Cancelada")*(Escaleta!$C$5:$C$504&lt;$A29+Configuración!$C$7/1440)*(Escaleta!$E$5:$E$504&gt;$A29)*ROW(Escaleta!$A$5:$A$504))))</f>
        <v/>
      </c>
      <c r="O29" s="50">
        <f>IF(OR($A29="",E$6=""),0,SUMPRODUCT(MAX((Escaleta!$A$5:$A$504=$B$4)*(Escaleta!$H$5:$H$504=E$6)*(Escaleta!$K$5:$K$504&lt;&gt;"Cancelada")*(Escaleta!$C$5:$C$504&lt;$A29+Configuración!$C$7/1440)*(Escaleta!$E$5:$E$504&gt;$A29)*ROW(Escaleta!$A$5:$A$504))))</f>
        <v/>
      </c>
      <c r="P29" s="50">
        <f>IF(OR($A29="",F$6=""),0,SUMPRODUCT(MAX((Escaleta!$A$5:$A$504=$B$4)*(Escaleta!$H$5:$H$504=F$6)*(Escaleta!$K$5:$K$504&lt;&gt;"Cancelada")*(Escaleta!$C$5:$C$504&lt;$A29+Configuración!$C$7/1440)*(Escaleta!$E$5:$E$504&gt;$A29)*ROW(Escaleta!$A$5:$A$504))))</f>
        <v/>
      </c>
      <c r="Q29" s="50">
        <f>IF(OR($A29="",G$6=""),0,SUMPRODUCT(MAX((Escaleta!$A$5:$A$504=$B$4)*(Escaleta!$H$5:$H$504=G$6)*(Escaleta!$K$5:$K$504&lt;&gt;"Cancelada")*(Escaleta!$C$5:$C$504&lt;$A29+Configuración!$C$7/1440)*(Escaleta!$E$5:$E$504&gt;$A29)*ROW(Escaleta!$A$5:$A$504))))</f>
        <v/>
      </c>
      <c r="R29" s="50">
        <f>IF(OR($A29="",H$6=""),0,SUMPRODUCT(MAX((Escaleta!$A$5:$A$504=$B$4)*(Escaleta!$H$5:$H$504=H$6)*(Escaleta!$K$5:$K$504&lt;&gt;"Cancelada")*(Escaleta!$C$5:$C$504&lt;$A29+Configuración!$C$7/1440)*(Escaleta!$E$5:$E$504&gt;$A29)*ROW(Escaleta!$A$5:$A$504))))</f>
        <v/>
      </c>
      <c r="S29" s="50">
        <f>IF(OR($A29="",I$6=""),0,SUMPRODUCT(MAX((Escaleta!$A$5:$A$504=$B$4)*(Escaleta!$H$5:$H$504=I$6)*(Escaleta!$K$5:$K$504&lt;&gt;"Cancelada")*(Escaleta!$C$5:$C$504&lt;$A29+Configuración!$C$7/1440)*(Escaleta!$E$5:$E$504&gt;$A29)*ROW(Escaleta!$A$5:$A$504))))</f>
        <v/>
      </c>
      <c r="U29" s="50">
        <f>IF(L29=0,"",INDEX(Escaleta!$I$1:$I$504,L29))</f>
        <v/>
      </c>
      <c r="V29" s="50">
        <f>IF(M29=0,"",INDEX(Escaleta!$I$1:$I$504,M29))</f>
        <v/>
      </c>
      <c r="W29" s="50">
        <f>IF(N29=0,"",INDEX(Escaleta!$I$1:$I$504,N29))</f>
        <v/>
      </c>
      <c r="X29" s="50">
        <f>IF(O29=0,"",INDEX(Escaleta!$I$1:$I$504,O29))</f>
        <v/>
      </c>
      <c r="Y29" s="50">
        <f>IF(P29=0,"",INDEX(Escaleta!$I$1:$I$504,P29))</f>
        <v/>
      </c>
      <c r="Z29" s="50">
        <f>IF(Q29=0,"",INDEX(Escaleta!$I$1:$I$504,Q29))</f>
        <v/>
      </c>
      <c r="AA29" s="50">
        <f>IF(R29=0,"",INDEX(Escaleta!$I$1:$I$504,R29))</f>
        <v/>
      </c>
      <c r="AB29" s="50">
        <f>IF(S29=0,"",INDEX(Escaleta!$I$1:$I$504,S29))</f>
        <v/>
      </c>
    </row>
    <row r="30" ht="18" customHeight="1">
      <c r="A30" s="48">
        <f>IF(A29="","",IF(A29+Configuración!$C$7/1440&gt;Configuración!$C$6-0.0001,"",A29+Configuración!$C$7/1440))</f>
        <v/>
      </c>
      <c r="B30" s="49">
        <f>IF(L30=0,"",IF(L30&lt;&gt;L29,INDEX(Escaleta!$F$1:$F$504,L30),IF(L30&lt;&gt;L28,TEXT(INDEX(Escaleta!$C$1:$C$504,L30),"hh:mm")&amp;"–"&amp;TEXT(INDEX(Escaleta!$E$1:$E$504,L30),"hh:mm"),"")))</f>
        <v/>
      </c>
      <c r="C30" s="49">
        <f>IF(M30=0,"",IF(M30&lt;&gt;M29,INDEX(Escaleta!$F$1:$F$504,M30),IF(M30&lt;&gt;M28,TEXT(INDEX(Escaleta!$C$1:$C$504,M30),"hh:mm")&amp;"–"&amp;TEXT(INDEX(Escaleta!$E$1:$E$504,M30),"hh:mm"),"")))</f>
        <v/>
      </c>
      <c r="D30" s="49">
        <f>IF(N30=0,"",IF(N30&lt;&gt;N29,INDEX(Escaleta!$F$1:$F$504,N30),IF(N30&lt;&gt;N28,TEXT(INDEX(Escaleta!$C$1:$C$504,N30),"hh:mm")&amp;"–"&amp;TEXT(INDEX(Escaleta!$E$1:$E$504,N30),"hh:mm"),"")))</f>
        <v/>
      </c>
      <c r="E30" s="49">
        <f>IF(O30=0,"",IF(O30&lt;&gt;O29,INDEX(Escaleta!$F$1:$F$504,O30),IF(O30&lt;&gt;O28,TEXT(INDEX(Escaleta!$C$1:$C$504,O30),"hh:mm")&amp;"–"&amp;TEXT(INDEX(Escaleta!$E$1:$E$504,O30),"hh:mm"),"")))</f>
        <v/>
      </c>
      <c r="F30" s="49">
        <f>IF(P30=0,"",IF(P30&lt;&gt;P29,INDEX(Escaleta!$F$1:$F$504,P30),IF(P30&lt;&gt;P28,TEXT(INDEX(Escaleta!$C$1:$C$504,P30),"hh:mm")&amp;"–"&amp;TEXT(INDEX(Escaleta!$E$1:$E$504,P30),"hh:mm"),"")))</f>
        <v/>
      </c>
      <c r="G30" s="49">
        <f>IF(Q30=0,"",IF(Q30&lt;&gt;Q29,INDEX(Escaleta!$F$1:$F$504,Q30),IF(Q30&lt;&gt;Q28,TEXT(INDEX(Escaleta!$C$1:$C$504,Q30),"hh:mm")&amp;"–"&amp;TEXT(INDEX(Escaleta!$E$1:$E$504,Q30),"hh:mm"),"")))</f>
        <v/>
      </c>
      <c r="H30" s="49">
        <f>IF(R30=0,"",IF(R30&lt;&gt;R29,INDEX(Escaleta!$F$1:$F$504,R30),IF(R30&lt;&gt;R28,TEXT(INDEX(Escaleta!$C$1:$C$504,R30),"hh:mm")&amp;"–"&amp;TEXT(INDEX(Escaleta!$E$1:$E$504,R30),"hh:mm"),"")))</f>
        <v/>
      </c>
      <c r="I30" s="49">
        <f>IF(S30=0,"",IF(S30&lt;&gt;S29,INDEX(Escaleta!$F$1:$F$504,S30),IF(S30&lt;&gt;S28,TEXT(INDEX(Escaleta!$C$1:$C$504,S30),"hh:mm")&amp;"–"&amp;TEXT(INDEX(Escaleta!$E$1:$E$504,S30),"hh:mm"),"")))</f>
        <v/>
      </c>
      <c r="L30" s="50">
        <f>IF(OR($A30="",B$6=""),0,SUMPRODUCT(MAX((Escaleta!$A$5:$A$504=$B$4)*(Escaleta!$H$5:$H$504=B$6)*(Escaleta!$K$5:$K$504&lt;&gt;"Cancelada")*(Escaleta!$C$5:$C$504&lt;$A30+Configuración!$C$7/1440)*(Escaleta!$E$5:$E$504&gt;$A30)*ROW(Escaleta!$A$5:$A$504))))</f>
        <v/>
      </c>
      <c r="M30" s="50">
        <f>IF(OR($A30="",C$6=""),0,SUMPRODUCT(MAX((Escaleta!$A$5:$A$504=$B$4)*(Escaleta!$H$5:$H$504=C$6)*(Escaleta!$K$5:$K$504&lt;&gt;"Cancelada")*(Escaleta!$C$5:$C$504&lt;$A30+Configuración!$C$7/1440)*(Escaleta!$E$5:$E$504&gt;$A30)*ROW(Escaleta!$A$5:$A$504))))</f>
        <v/>
      </c>
      <c r="N30" s="50">
        <f>IF(OR($A30="",D$6=""),0,SUMPRODUCT(MAX((Escaleta!$A$5:$A$504=$B$4)*(Escaleta!$H$5:$H$504=D$6)*(Escaleta!$K$5:$K$504&lt;&gt;"Cancelada")*(Escaleta!$C$5:$C$504&lt;$A30+Configuración!$C$7/1440)*(Escaleta!$E$5:$E$504&gt;$A30)*ROW(Escaleta!$A$5:$A$504))))</f>
        <v/>
      </c>
      <c r="O30" s="50">
        <f>IF(OR($A30="",E$6=""),0,SUMPRODUCT(MAX((Escaleta!$A$5:$A$504=$B$4)*(Escaleta!$H$5:$H$504=E$6)*(Escaleta!$K$5:$K$504&lt;&gt;"Cancelada")*(Escaleta!$C$5:$C$504&lt;$A30+Configuración!$C$7/1440)*(Escaleta!$E$5:$E$504&gt;$A30)*ROW(Escaleta!$A$5:$A$504))))</f>
        <v/>
      </c>
      <c r="P30" s="50">
        <f>IF(OR($A30="",F$6=""),0,SUMPRODUCT(MAX((Escaleta!$A$5:$A$504=$B$4)*(Escaleta!$H$5:$H$504=F$6)*(Escaleta!$K$5:$K$504&lt;&gt;"Cancelada")*(Escaleta!$C$5:$C$504&lt;$A30+Configuración!$C$7/1440)*(Escaleta!$E$5:$E$504&gt;$A30)*ROW(Escaleta!$A$5:$A$504))))</f>
        <v/>
      </c>
      <c r="Q30" s="50">
        <f>IF(OR($A30="",G$6=""),0,SUMPRODUCT(MAX((Escaleta!$A$5:$A$504=$B$4)*(Escaleta!$H$5:$H$504=G$6)*(Escaleta!$K$5:$K$504&lt;&gt;"Cancelada")*(Escaleta!$C$5:$C$504&lt;$A30+Configuración!$C$7/1440)*(Escaleta!$E$5:$E$504&gt;$A30)*ROW(Escaleta!$A$5:$A$504))))</f>
        <v/>
      </c>
      <c r="R30" s="50">
        <f>IF(OR($A30="",H$6=""),0,SUMPRODUCT(MAX((Escaleta!$A$5:$A$504=$B$4)*(Escaleta!$H$5:$H$504=H$6)*(Escaleta!$K$5:$K$504&lt;&gt;"Cancelada")*(Escaleta!$C$5:$C$504&lt;$A30+Configuración!$C$7/1440)*(Escaleta!$E$5:$E$504&gt;$A30)*ROW(Escaleta!$A$5:$A$504))))</f>
        <v/>
      </c>
      <c r="S30" s="50">
        <f>IF(OR($A30="",I$6=""),0,SUMPRODUCT(MAX((Escaleta!$A$5:$A$504=$B$4)*(Escaleta!$H$5:$H$504=I$6)*(Escaleta!$K$5:$K$504&lt;&gt;"Cancelada")*(Escaleta!$C$5:$C$504&lt;$A30+Configuración!$C$7/1440)*(Escaleta!$E$5:$E$504&gt;$A30)*ROW(Escaleta!$A$5:$A$504))))</f>
        <v/>
      </c>
      <c r="U30" s="50">
        <f>IF(L30=0,"",INDEX(Escaleta!$I$1:$I$504,L30))</f>
        <v/>
      </c>
      <c r="V30" s="50">
        <f>IF(M30=0,"",INDEX(Escaleta!$I$1:$I$504,M30))</f>
        <v/>
      </c>
      <c r="W30" s="50">
        <f>IF(N30=0,"",INDEX(Escaleta!$I$1:$I$504,N30))</f>
        <v/>
      </c>
      <c r="X30" s="50">
        <f>IF(O30=0,"",INDEX(Escaleta!$I$1:$I$504,O30))</f>
        <v/>
      </c>
      <c r="Y30" s="50">
        <f>IF(P30=0,"",INDEX(Escaleta!$I$1:$I$504,P30))</f>
        <v/>
      </c>
      <c r="Z30" s="50">
        <f>IF(Q30=0,"",INDEX(Escaleta!$I$1:$I$504,Q30))</f>
        <v/>
      </c>
      <c r="AA30" s="50">
        <f>IF(R30=0,"",INDEX(Escaleta!$I$1:$I$504,R30))</f>
        <v/>
      </c>
      <c r="AB30" s="50">
        <f>IF(S30=0,"",INDEX(Escaleta!$I$1:$I$504,S30))</f>
        <v/>
      </c>
    </row>
    <row r="31" ht="18" customHeight="1">
      <c r="A31" s="48">
        <f>IF(A30="","",IF(A30+Configuración!$C$7/1440&gt;Configuración!$C$6-0.0001,"",A30+Configuración!$C$7/1440))</f>
        <v/>
      </c>
      <c r="B31" s="49">
        <f>IF(L31=0,"",IF(L31&lt;&gt;L30,INDEX(Escaleta!$F$1:$F$504,L31),IF(L31&lt;&gt;L29,TEXT(INDEX(Escaleta!$C$1:$C$504,L31),"hh:mm")&amp;"–"&amp;TEXT(INDEX(Escaleta!$E$1:$E$504,L31),"hh:mm"),"")))</f>
        <v/>
      </c>
      <c r="C31" s="49">
        <f>IF(M31=0,"",IF(M31&lt;&gt;M30,INDEX(Escaleta!$F$1:$F$504,M31),IF(M31&lt;&gt;M29,TEXT(INDEX(Escaleta!$C$1:$C$504,M31),"hh:mm")&amp;"–"&amp;TEXT(INDEX(Escaleta!$E$1:$E$504,M31),"hh:mm"),"")))</f>
        <v/>
      </c>
      <c r="D31" s="49">
        <f>IF(N31=0,"",IF(N31&lt;&gt;N30,INDEX(Escaleta!$F$1:$F$504,N31),IF(N31&lt;&gt;N29,TEXT(INDEX(Escaleta!$C$1:$C$504,N31),"hh:mm")&amp;"–"&amp;TEXT(INDEX(Escaleta!$E$1:$E$504,N31),"hh:mm"),"")))</f>
        <v/>
      </c>
      <c r="E31" s="49">
        <f>IF(O31=0,"",IF(O31&lt;&gt;O30,INDEX(Escaleta!$F$1:$F$504,O31),IF(O31&lt;&gt;O29,TEXT(INDEX(Escaleta!$C$1:$C$504,O31),"hh:mm")&amp;"–"&amp;TEXT(INDEX(Escaleta!$E$1:$E$504,O31),"hh:mm"),"")))</f>
        <v/>
      </c>
      <c r="F31" s="49">
        <f>IF(P31=0,"",IF(P31&lt;&gt;P30,INDEX(Escaleta!$F$1:$F$504,P31),IF(P31&lt;&gt;P29,TEXT(INDEX(Escaleta!$C$1:$C$504,P31),"hh:mm")&amp;"–"&amp;TEXT(INDEX(Escaleta!$E$1:$E$504,P31),"hh:mm"),"")))</f>
        <v/>
      </c>
      <c r="G31" s="49">
        <f>IF(Q31=0,"",IF(Q31&lt;&gt;Q30,INDEX(Escaleta!$F$1:$F$504,Q31),IF(Q31&lt;&gt;Q29,TEXT(INDEX(Escaleta!$C$1:$C$504,Q31),"hh:mm")&amp;"–"&amp;TEXT(INDEX(Escaleta!$E$1:$E$504,Q31),"hh:mm"),"")))</f>
        <v/>
      </c>
      <c r="H31" s="49">
        <f>IF(R31=0,"",IF(R31&lt;&gt;R30,INDEX(Escaleta!$F$1:$F$504,R31),IF(R31&lt;&gt;R29,TEXT(INDEX(Escaleta!$C$1:$C$504,R31),"hh:mm")&amp;"–"&amp;TEXT(INDEX(Escaleta!$E$1:$E$504,R31),"hh:mm"),"")))</f>
        <v/>
      </c>
      <c r="I31" s="49">
        <f>IF(S31=0,"",IF(S31&lt;&gt;S30,INDEX(Escaleta!$F$1:$F$504,S31),IF(S31&lt;&gt;S29,TEXT(INDEX(Escaleta!$C$1:$C$504,S31),"hh:mm")&amp;"–"&amp;TEXT(INDEX(Escaleta!$E$1:$E$504,S31),"hh:mm"),"")))</f>
        <v/>
      </c>
      <c r="L31" s="50">
        <f>IF(OR($A31="",B$6=""),0,SUMPRODUCT(MAX((Escaleta!$A$5:$A$504=$B$4)*(Escaleta!$H$5:$H$504=B$6)*(Escaleta!$K$5:$K$504&lt;&gt;"Cancelada")*(Escaleta!$C$5:$C$504&lt;$A31+Configuración!$C$7/1440)*(Escaleta!$E$5:$E$504&gt;$A31)*ROW(Escaleta!$A$5:$A$504))))</f>
        <v/>
      </c>
      <c r="M31" s="50">
        <f>IF(OR($A31="",C$6=""),0,SUMPRODUCT(MAX((Escaleta!$A$5:$A$504=$B$4)*(Escaleta!$H$5:$H$504=C$6)*(Escaleta!$K$5:$K$504&lt;&gt;"Cancelada")*(Escaleta!$C$5:$C$504&lt;$A31+Configuración!$C$7/1440)*(Escaleta!$E$5:$E$504&gt;$A31)*ROW(Escaleta!$A$5:$A$504))))</f>
        <v/>
      </c>
      <c r="N31" s="50">
        <f>IF(OR($A31="",D$6=""),0,SUMPRODUCT(MAX((Escaleta!$A$5:$A$504=$B$4)*(Escaleta!$H$5:$H$504=D$6)*(Escaleta!$K$5:$K$504&lt;&gt;"Cancelada")*(Escaleta!$C$5:$C$504&lt;$A31+Configuración!$C$7/1440)*(Escaleta!$E$5:$E$504&gt;$A31)*ROW(Escaleta!$A$5:$A$504))))</f>
        <v/>
      </c>
      <c r="O31" s="50">
        <f>IF(OR($A31="",E$6=""),0,SUMPRODUCT(MAX((Escaleta!$A$5:$A$504=$B$4)*(Escaleta!$H$5:$H$504=E$6)*(Escaleta!$K$5:$K$504&lt;&gt;"Cancelada")*(Escaleta!$C$5:$C$504&lt;$A31+Configuración!$C$7/1440)*(Escaleta!$E$5:$E$504&gt;$A31)*ROW(Escaleta!$A$5:$A$504))))</f>
        <v/>
      </c>
      <c r="P31" s="50">
        <f>IF(OR($A31="",F$6=""),0,SUMPRODUCT(MAX((Escaleta!$A$5:$A$504=$B$4)*(Escaleta!$H$5:$H$504=F$6)*(Escaleta!$K$5:$K$504&lt;&gt;"Cancelada")*(Escaleta!$C$5:$C$504&lt;$A31+Configuración!$C$7/1440)*(Escaleta!$E$5:$E$504&gt;$A31)*ROW(Escaleta!$A$5:$A$504))))</f>
        <v/>
      </c>
      <c r="Q31" s="50">
        <f>IF(OR($A31="",G$6=""),0,SUMPRODUCT(MAX((Escaleta!$A$5:$A$504=$B$4)*(Escaleta!$H$5:$H$504=G$6)*(Escaleta!$K$5:$K$504&lt;&gt;"Cancelada")*(Escaleta!$C$5:$C$504&lt;$A31+Configuración!$C$7/1440)*(Escaleta!$E$5:$E$504&gt;$A31)*ROW(Escaleta!$A$5:$A$504))))</f>
        <v/>
      </c>
      <c r="R31" s="50">
        <f>IF(OR($A31="",H$6=""),0,SUMPRODUCT(MAX((Escaleta!$A$5:$A$504=$B$4)*(Escaleta!$H$5:$H$504=H$6)*(Escaleta!$K$5:$K$504&lt;&gt;"Cancelada")*(Escaleta!$C$5:$C$504&lt;$A31+Configuración!$C$7/1440)*(Escaleta!$E$5:$E$504&gt;$A31)*ROW(Escaleta!$A$5:$A$504))))</f>
        <v/>
      </c>
      <c r="S31" s="50">
        <f>IF(OR($A31="",I$6=""),0,SUMPRODUCT(MAX((Escaleta!$A$5:$A$504=$B$4)*(Escaleta!$H$5:$H$504=I$6)*(Escaleta!$K$5:$K$504&lt;&gt;"Cancelada")*(Escaleta!$C$5:$C$504&lt;$A31+Configuración!$C$7/1440)*(Escaleta!$E$5:$E$504&gt;$A31)*ROW(Escaleta!$A$5:$A$504))))</f>
        <v/>
      </c>
      <c r="U31" s="50">
        <f>IF(L31=0,"",INDEX(Escaleta!$I$1:$I$504,L31))</f>
        <v/>
      </c>
      <c r="V31" s="50">
        <f>IF(M31=0,"",INDEX(Escaleta!$I$1:$I$504,M31))</f>
        <v/>
      </c>
      <c r="W31" s="50">
        <f>IF(N31=0,"",INDEX(Escaleta!$I$1:$I$504,N31))</f>
        <v/>
      </c>
      <c r="X31" s="50">
        <f>IF(O31=0,"",INDEX(Escaleta!$I$1:$I$504,O31))</f>
        <v/>
      </c>
      <c r="Y31" s="50">
        <f>IF(P31=0,"",INDEX(Escaleta!$I$1:$I$504,P31))</f>
        <v/>
      </c>
      <c r="Z31" s="50">
        <f>IF(Q31=0,"",INDEX(Escaleta!$I$1:$I$504,Q31))</f>
        <v/>
      </c>
      <c r="AA31" s="50">
        <f>IF(R31=0,"",INDEX(Escaleta!$I$1:$I$504,R31))</f>
        <v/>
      </c>
      <c r="AB31" s="50">
        <f>IF(S31=0,"",INDEX(Escaleta!$I$1:$I$504,S31))</f>
        <v/>
      </c>
    </row>
    <row r="32" ht="18" customHeight="1">
      <c r="A32" s="48">
        <f>IF(A31="","",IF(A31+Configuración!$C$7/1440&gt;Configuración!$C$6-0.0001,"",A31+Configuración!$C$7/1440))</f>
        <v/>
      </c>
      <c r="B32" s="49">
        <f>IF(L32=0,"",IF(L32&lt;&gt;L31,INDEX(Escaleta!$F$1:$F$504,L32),IF(L32&lt;&gt;L30,TEXT(INDEX(Escaleta!$C$1:$C$504,L32),"hh:mm")&amp;"–"&amp;TEXT(INDEX(Escaleta!$E$1:$E$504,L32),"hh:mm"),"")))</f>
        <v/>
      </c>
      <c r="C32" s="49">
        <f>IF(M32=0,"",IF(M32&lt;&gt;M31,INDEX(Escaleta!$F$1:$F$504,M32),IF(M32&lt;&gt;M30,TEXT(INDEX(Escaleta!$C$1:$C$504,M32),"hh:mm")&amp;"–"&amp;TEXT(INDEX(Escaleta!$E$1:$E$504,M32),"hh:mm"),"")))</f>
        <v/>
      </c>
      <c r="D32" s="49">
        <f>IF(N32=0,"",IF(N32&lt;&gt;N31,INDEX(Escaleta!$F$1:$F$504,N32),IF(N32&lt;&gt;N30,TEXT(INDEX(Escaleta!$C$1:$C$504,N32),"hh:mm")&amp;"–"&amp;TEXT(INDEX(Escaleta!$E$1:$E$504,N32),"hh:mm"),"")))</f>
        <v/>
      </c>
      <c r="E32" s="49">
        <f>IF(O32=0,"",IF(O32&lt;&gt;O31,INDEX(Escaleta!$F$1:$F$504,O32),IF(O32&lt;&gt;O30,TEXT(INDEX(Escaleta!$C$1:$C$504,O32),"hh:mm")&amp;"–"&amp;TEXT(INDEX(Escaleta!$E$1:$E$504,O32),"hh:mm"),"")))</f>
        <v/>
      </c>
      <c r="F32" s="49">
        <f>IF(P32=0,"",IF(P32&lt;&gt;P31,INDEX(Escaleta!$F$1:$F$504,P32),IF(P32&lt;&gt;P30,TEXT(INDEX(Escaleta!$C$1:$C$504,P32),"hh:mm")&amp;"–"&amp;TEXT(INDEX(Escaleta!$E$1:$E$504,P32),"hh:mm"),"")))</f>
        <v/>
      </c>
      <c r="G32" s="49">
        <f>IF(Q32=0,"",IF(Q32&lt;&gt;Q31,INDEX(Escaleta!$F$1:$F$504,Q32),IF(Q32&lt;&gt;Q30,TEXT(INDEX(Escaleta!$C$1:$C$504,Q32),"hh:mm")&amp;"–"&amp;TEXT(INDEX(Escaleta!$E$1:$E$504,Q32),"hh:mm"),"")))</f>
        <v/>
      </c>
      <c r="H32" s="49">
        <f>IF(R32=0,"",IF(R32&lt;&gt;R31,INDEX(Escaleta!$F$1:$F$504,R32),IF(R32&lt;&gt;R30,TEXT(INDEX(Escaleta!$C$1:$C$504,R32),"hh:mm")&amp;"–"&amp;TEXT(INDEX(Escaleta!$E$1:$E$504,R32),"hh:mm"),"")))</f>
        <v/>
      </c>
      <c r="I32" s="49">
        <f>IF(S32=0,"",IF(S32&lt;&gt;S31,INDEX(Escaleta!$F$1:$F$504,S32),IF(S32&lt;&gt;S30,TEXT(INDEX(Escaleta!$C$1:$C$504,S32),"hh:mm")&amp;"–"&amp;TEXT(INDEX(Escaleta!$E$1:$E$504,S32),"hh:mm"),"")))</f>
        <v/>
      </c>
      <c r="L32" s="50">
        <f>IF(OR($A32="",B$6=""),0,SUMPRODUCT(MAX((Escaleta!$A$5:$A$504=$B$4)*(Escaleta!$H$5:$H$504=B$6)*(Escaleta!$K$5:$K$504&lt;&gt;"Cancelada")*(Escaleta!$C$5:$C$504&lt;$A32+Configuración!$C$7/1440)*(Escaleta!$E$5:$E$504&gt;$A32)*ROW(Escaleta!$A$5:$A$504))))</f>
        <v/>
      </c>
      <c r="M32" s="50">
        <f>IF(OR($A32="",C$6=""),0,SUMPRODUCT(MAX((Escaleta!$A$5:$A$504=$B$4)*(Escaleta!$H$5:$H$504=C$6)*(Escaleta!$K$5:$K$504&lt;&gt;"Cancelada")*(Escaleta!$C$5:$C$504&lt;$A32+Configuración!$C$7/1440)*(Escaleta!$E$5:$E$504&gt;$A32)*ROW(Escaleta!$A$5:$A$504))))</f>
        <v/>
      </c>
      <c r="N32" s="50">
        <f>IF(OR($A32="",D$6=""),0,SUMPRODUCT(MAX((Escaleta!$A$5:$A$504=$B$4)*(Escaleta!$H$5:$H$504=D$6)*(Escaleta!$K$5:$K$504&lt;&gt;"Cancelada")*(Escaleta!$C$5:$C$504&lt;$A32+Configuración!$C$7/1440)*(Escaleta!$E$5:$E$504&gt;$A32)*ROW(Escaleta!$A$5:$A$504))))</f>
        <v/>
      </c>
      <c r="O32" s="50">
        <f>IF(OR($A32="",E$6=""),0,SUMPRODUCT(MAX((Escaleta!$A$5:$A$504=$B$4)*(Escaleta!$H$5:$H$504=E$6)*(Escaleta!$K$5:$K$504&lt;&gt;"Cancelada")*(Escaleta!$C$5:$C$504&lt;$A32+Configuración!$C$7/1440)*(Escaleta!$E$5:$E$504&gt;$A32)*ROW(Escaleta!$A$5:$A$504))))</f>
        <v/>
      </c>
      <c r="P32" s="50">
        <f>IF(OR($A32="",F$6=""),0,SUMPRODUCT(MAX((Escaleta!$A$5:$A$504=$B$4)*(Escaleta!$H$5:$H$504=F$6)*(Escaleta!$K$5:$K$504&lt;&gt;"Cancelada")*(Escaleta!$C$5:$C$504&lt;$A32+Configuración!$C$7/1440)*(Escaleta!$E$5:$E$504&gt;$A32)*ROW(Escaleta!$A$5:$A$504))))</f>
        <v/>
      </c>
      <c r="Q32" s="50">
        <f>IF(OR($A32="",G$6=""),0,SUMPRODUCT(MAX((Escaleta!$A$5:$A$504=$B$4)*(Escaleta!$H$5:$H$504=G$6)*(Escaleta!$K$5:$K$504&lt;&gt;"Cancelada")*(Escaleta!$C$5:$C$504&lt;$A32+Configuración!$C$7/1440)*(Escaleta!$E$5:$E$504&gt;$A32)*ROW(Escaleta!$A$5:$A$504))))</f>
        <v/>
      </c>
      <c r="R32" s="50">
        <f>IF(OR($A32="",H$6=""),0,SUMPRODUCT(MAX((Escaleta!$A$5:$A$504=$B$4)*(Escaleta!$H$5:$H$504=H$6)*(Escaleta!$K$5:$K$504&lt;&gt;"Cancelada")*(Escaleta!$C$5:$C$504&lt;$A32+Configuración!$C$7/1440)*(Escaleta!$E$5:$E$504&gt;$A32)*ROW(Escaleta!$A$5:$A$504))))</f>
        <v/>
      </c>
      <c r="S32" s="50">
        <f>IF(OR($A32="",I$6=""),0,SUMPRODUCT(MAX((Escaleta!$A$5:$A$504=$B$4)*(Escaleta!$H$5:$H$504=I$6)*(Escaleta!$K$5:$K$504&lt;&gt;"Cancelada")*(Escaleta!$C$5:$C$504&lt;$A32+Configuración!$C$7/1440)*(Escaleta!$E$5:$E$504&gt;$A32)*ROW(Escaleta!$A$5:$A$504))))</f>
        <v/>
      </c>
      <c r="U32" s="50">
        <f>IF(L32=0,"",INDEX(Escaleta!$I$1:$I$504,L32))</f>
        <v/>
      </c>
      <c r="V32" s="50">
        <f>IF(M32=0,"",INDEX(Escaleta!$I$1:$I$504,M32))</f>
        <v/>
      </c>
      <c r="W32" s="50">
        <f>IF(N32=0,"",INDEX(Escaleta!$I$1:$I$504,N32))</f>
        <v/>
      </c>
      <c r="X32" s="50">
        <f>IF(O32=0,"",INDEX(Escaleta!$I$1:$I$504,O32))</f>
        <v/>
      </c>
      <c r="Y32" s="50">
        <f>IF(P32=0,"",INDEX(Escaleta!$I$1:$I$504,P32))</f>
        <v/>
      </c>
      <c r="Z32" s="50">
        <f>IF(Q32=0,"",INDEX(Escaleta!$I$1:$I$504,Q32))</f>
        <v/>
      </c>
      <c r="AA32" s="50">
        <f>IF(R32=0,"",INDEX(Escaleta!$I$1:$I$504,R32))</f>
        <v/>
      </c>
      <c r="AB32" s="50">
        <f>IF(S32=0,"",INDEX(Escaleta!$I$1:$I$504,S32))</f>
        <v/>
      </c>
    </row>
    <row r="33" ht="18" customHeight="1">
      <c r="A33" s="48">
        <f>IF(A32="","",IF(A32+Configuración!$C$7/1440&gt;Configuración!$C$6-0.0001,"",A32+Configuración!$C$7/1440))</f>
        <v/>
      </c>
      <c r="B33" s="49">
        <f>IF(L33=0,"",IF(L33&lt;&gt;L32,INDEX(Escaleta!$F$1:$F$504,L33),IF(L33&lt;&gt;L31,TEXT(INDEX(Escaleta!$C$1:$C$504,L33),"hh:mm")&amp;"–"&amp;TEXT(INDEX(Escaleta!$E$1:$E$504,L33),"hh:mm"),"")))</f>
        <v/>
      </c>
      <c r="C33" s="49">
        <f>IF(M33=0,"",IF(M33&lt;&gt;M32,INDEX(Escaleta!$F$1:$F$504,M33),IF(M33&lt;&gt;M31,TEXT(INDEX(Escaleta!$C$1:$C$504,M33),"hh:mm")&amp;"–"&amp;TEXT(INDEX(Escaleta!$E$1:$E$504,M33),"hh:mm"),"")))</f>
        <v/>
      </c>
      <c r="D33" s="49">
        <f>IF(N33=0,"",IF(N33&lt;&gt;N32,INDEX(Escaleta!$F$1:$F$504,N33),IF(N33&lt;&gt;N31,TEXT(INDEX(Escaleta!$C$1:$C$504,N33),"hh:mm")&amp;"–"&amp;TEXT(INDEX(Escaleta!$E$1:$E$504,N33),"hh:mm"),"")))</f>
        <v/>
      </c>
      <c r="E33" s="49">
        <f>IF(O33=0,"",IF(O33&lt;&gt;O32,INDEX(Escaleta!$F$1:$F$504,O33),IF(O33&lt;&gt;O31,TEXT(INDEX(Escaleta!$C$1:$C$504,O33),"hh:mm")&amp;"–"&amp;TEXT(INDEX(Escaleta!$E$1:$E$504,O33),"hh:mm"),"")))</f>
        <v/>
      </c>
      <c r="F33" s="49">
        <f>IF(P33=0,"",IF(P33&lt;&gt;P32,INDEX(Escaleta!$F$1:$F$504,P33),IF(P33&lt;&gt;P31,TEXT(INDEX(Escaleta!$C$1:$C$504,P33),"hh:mm")&amp;"–"&amp;TEXT(INDEX(Escaleta!$E$1:$E$504,P33),"hh:mm"),"")))</f>
        <v/>
      </c>
      <c r="G33" s="49">
        <f>IF(Q33=0,"",IF(Q33&lt;&gt;Q32,INDEX(Escaleta!$F$1:$F$504,Q33),IF(Q33&lt;&gt;Q31,TEXT(INDEX(Escaleta!$C$1:$C$504,Q33),"hh:mm")&amp;"–"&amp;TEXT(INDEX(Escaleta!$E$1:$E$504,Q33),"hh:mm"),"")))</f>
        <v/>
      </c>
      <c r="H33" s="49">
        <f>IF(R33=0,"",IF(R33&lt;&gt;R32,INDEX(Escaleta!$F$1:$F$504,R33),IF(R33&lt;&gt;R31,TEXT(INDEX(Escaleta!$C$1:$C$504,R33),"hh:mm")&amp;"–"&amp;TEXT(INDEX(Escaleta!$E$1:$E$504,R33),"hh:mm"),"")))</f>
        <v/>
      </c>
      <c r="I33" s="49">
        <f>IF(S33=0,"",IF(S33&lt;&gt;S32,INDEX(Escaleta!$F$1:$F$504,S33),IF(S33&lt;&gt;S31,TEXT(INDEX(Escaleta!$C$1:$C$504,S33),"hh:mm")&amp;"–"&amp;TEXT(INDEX(Escaleta!$E$1:$E$504,S33),"hh:mm"),"")))</f>
        <v/>
      </c>
      <c r="L33" s="50">
        <f>IF(OR($A33="",B$6=""),0,SUMPRODUCT(MAX((Escaleta!$A$5:$A$504=$B$4)*(Escaleta!$H$5:$H$504=B$6)*(Escaleta!$K$5:$K$504&lt;&gt;"Cancelada")*(Escaleta!$C$5:$C$504&lt;$A33+Configuración!$C$7/1440)*(Escaleta!$E$5:$E$504&gt;$A33)*ROW(Escaleta!$A$5:$A$504))))</f>
        <v/>
      </c>
      <c r="M33" s="50">
        <f>IF(OR($A33="",C$6=""),0,SUMPRODUCT(MAX((Escaleta!$A$5:$A$504=$B$4)*(Escaleta!$H$5:$H$504=C$6)*(Escaleta!$K$5:$K$504&lt;&gt;"Cancelada")*(Escaleta!$C$5:$C$504&lt;$A33+Configuración!$C$7/1440)*(Escaleta!$E$5:$E$504&gt;$A33)*ROW(Escaleta!$A$5:$A$504))))</f>
        <v/>
      </c>
      <c r="N33" s="50">
        <f>IF(OR($A33="",D$6=""),0,SUMPRODUCT(MAX((Escaleta!$A$5:$A$504=$B$4)*(Escaleta!$H$5:$H$504=D$6)*(Escaleta!$K$5:$K$504&lt;&gt;"Cancelada")*(Escaleta!$C$5:$C$504&lt;$A33+Configuración!$C$7/1440)*(Escaleta!$E$5:$E$504&gt;$A33)*ROW(Escaleta!$A$5:$A$504))))</f>
        <v/>
      </c>
      <c r="O33" s="50">
        <f>IF(OR($A33="",E$6=""),0,SUMPRODUCT(MAX((Escaleta!$A$5:$A$504=$B$4)*(Escaleta!$H$5:$H$504=E$6)*(Escaleta!$K$5:$K$504&lt;&gt;"Cancelada")*(Escaleta!$C$5:$C$504&lt;$A33+Configuración!$C$7/1440)*(Escaleta!$E$5:$E$504&gt;$A33)*ROW(Escaleta!$A$5:$A$504))))</f>
        <v/>
      </c>
      <c r="P33" s="50">
        <f>IF(OR($A33="",F$6=""),0,SUMPRODUCT(MAX((Escaleta!$A$5:$A$504=$B$4)*(Escaleta!$H$5:$H$504=F$6)*(Escaleta!$K$5:$K$504&lt;&gt;"Cancelada")*(Escaleta!$C$5:$C$504&lt;$A33+Configuración!$C$7/1440)*(Escaleta!$E$5:$E$504&gt;$A33)*ROW(Escaleta!$A$5:$A$504))))</f>
        <v/>
      </c>
      <c r="Q33" s="50">
        <f>IF(OR($A33="",G$6=""),0,SUMPRODUCT(MAX((Escaleta!$A$5:$A$504=$B$4)*(Escaleta!$H$5:$H$504=G$6)*(Escaleta!$K$5:$K$504&lt;&gt;"Cancelada")*(Escaleta!$C$5:$C$504&lt;$A33+Configuración!$C$7/1440)*(Escaleta!$E$5:$E$504&gt;$A33)*ROW(Escaleta!$A$5:$A$504))))</f>
        <v/>
      </c>
      <c r="R33" s="50">
        <f>IF(OR($A33="",H$6=""),0,SUMPRODUCT(MAX((Escaleta!$A$5:$A$504=$B$4)*(Escaleta!$H$5:$H$504=H$6)*(Escaleta!$K$5:$K$504&lt;&gt;"Cancelada")*(Escaleta!$C$5:$C$504&lt;$A33+Configuración!$C$7/1440)*(Escaleta!$E$5:$E$504&gt;$A33)*ROW(Escaleta!$A$5:$A$504))))</f>
        <v/>
      </c>
      <c r="S33" s="50">
        <f>IF(OR($A33="",I$6=""),0,SUMPRODUCT(MAX((Escaleta!$A$5:$A$504=$B$4)*(Escaleta!$H$5:$H$504=I$6)*(Escaleta!$K$5:$K$504&lt;&gt;"Cancelada")*(Escaleta!$C$5:$C$504&lt;$A33+Configuración!$C$7/1440)*(Escaleta!$E$5:$E$504&gt;$A33)*ROW(Escaleta!$A$5:$A$504))))</f>
        <v/>
      </c>
      <c r="U33" s="50">
        <f>IF(L33=0,"",INDEX(Escaleta!$I$1:$I$504,L33))</f>
        <v/>
      </c>
      <c r="V33" s="50">
        <f>IF(M33=0,"",INDEX(Escaleta!$I$1:$I$504,M33))</f>
        <v/>
      </c>
      <c r="W33" s="50">
        <f>IF(N33=0,"",INDEX(Escaleta!$I$1:$I$504,N33))</f>
        <v/>
      </c>
      <c r="X33" s="50">
        <f>IF(O33=0,"",INDEX(Escaleta!$I$1:$I$504,O33))</f>
        <v/>
      </c>
      <c r="Y33" s="50">
        <f>IF(P33=0,"",INDEX(Escaleta!$I$1:$I$504,P33))</f>
        <v/>
      </c>
      <c r="Z33" s="50">
        <f>IF(Q33=0,"",INDEX(Escaleta!$I$1:$I$504,Q33))</f>
        <v/>
      </c>
      <c r="AA33" s="50">
        <f>IF(R33=0,"",INDEX(Escaleta!$I$1:$I$504,R33))</f>
        <v/>
      </c>
      <c r="AB33" s="50">
        <f>IF(S33=0,"",INDEX(Escaleta!$I$1:$I$504,S33))</f>
        <v/>
      </c>
    </row>
    <row r="34" ht="18" customHeight="1">
      <c r="A34" s="48">
        <f>IF(A33="","",IF(A33+Configuración!$C$7/1440&gt;Configuración!$C$6-0.0001,"",A33+Configuración!$C$7/1440))</f>
        <v/>
      </c>
      <c r="B34" s="49">
        <f>IF(L34=0,"",IF(L34&lt;&gt;L33,INDEX(Escaleta!$F$1:$F$504,L34),IF(L34&lt;&gt;L32,TEXT(INDEX(Escaleta!$C$1:$C$504,L34),"hh:mm")&amp;"–"&amp;TEXT(INDEX(Escaleta!$E$1:$E$504,L34),"hh:mm"),"")))</f>
        <v/>
      </c>
      <c r="C34" s="49">
        <f>IF(M34=0,"",IF(M34&lt;&gt;M33,INDEX(Escaleta!$F$1:$F$504,M34),IF(M34&lt;&gt;M32,TEXT(INDEX(Escaleta!$C$1:$C$504,M34),"hh:mm")&amp;"–"&amp;TEXT(INDEX(Escaleta!$E$1:$E$504,M34),"hh:mm"),"")))</f>
        <v/>
      </c>
      <c r="D34" s="49">
        <f>IF(N34=0,"",IF(N34&lt;&gt;N33,INDEX(Escaleta!$F$1:$F$504,N34),IF(N34&lt;&gt;N32,TEXT(INDEX(Escaleta!$C$1:$C$504,N34),"hh:mm")&amp;"–"&amp;TEXT(INDEX(Escaleta!$E$1:$E$504,N34),"hh:mm"),"")))</f>
        <v/>
      </c>
      <c r="E34" s="49">
        <f>IF(O34=0,"",IF(O34&lt;&gt;O33,INDEX(Escaleta!$F$1:$F$504,O34),IF(O34&lt;&gt;O32,TEXT(INDEX(Escaleta!$C$1:$C$504,O34),"hh:mm")&amp;"–"&amp;TEXT(INDEX(Escaleta!$E$1:$E$504,O34),"hh:mm"),"")))</f>
        <v/>
      </c>
      <c r="F34" s="49">
        <f>IF(P34=0,"",IF(P34&lt;&gt;P33,INDEX(Escaleta!$F$1:$F$504,P34),IF(P34&lt;&gt;P32,TEXT(INDEX(Escaleta!$C$1:$C$504,P34),"hh:mm")&amp;"–"&amp;TEXT(INDEX(Escaleta!$E$1:$E$504,P34),"hh:mm"),"")))</f>
        <v/>
      </c>
      <c r="G34" s="49">
        <f>IF(Q34=0,"",IF(Q34&lt;&gt;Q33,INDEX(Escaleta!$F$1:$F$504,Q34),IF(Q34&lt;&gt;Q32,TEXT(INDEX(Escaleta!$C$1:$C$504,Q34),"hh:mm")&amp;"–"&amp;TEXT(INDEX(Escaleta!$E$1:$E$504,Q34),"hh:mm"),"")))</f>
        <v/>
      </c>
      <c r="H34" s="49">
        <f>IF(R34=0,"",IF(R34&lt;&gt;R33,INDEX(Escaleta!$F$1:$F$504,R34),IF(R34&lt;&gt;R32,TEXT(INDEX(Escaleta!$C$1:$C$504,R34),"hh:mm")&amp;"–"&amp;TEXT(INDEX(Escaleta!$E$1:$E$504,R34),"hh:mm"),"")))</f>
        <v/>
      </c>
      <c r="I34" s="49">
        <f>IF(S34=0,"",IF(S34&lt;&gt;S33,INDEX(Escaleta!$F$1:$F$504,S34),IF(S34&lt;&gt;S32,TEXT(INDEX(Escaleta!$C$1:$C$504,S34),"hh:mm")&amp;"–"&amp;TEXT(INDEX(Escaleta!$E$1:$E$504,S34),"hh:mm"),"")))</f>
        <v/>
      </c>
      <c r="L34" s="50">
        <f>IF(OR($A34="",B$6=""),0,SUMPRODUCT(MAX((Escaleta!$A$5:$A$504=$B$4)*(Escaleta!$H$5:$H$504=B$6)*(Escaleta!$K$5:$K$504&lt;&gt;"Cancelada")*(Escaleta!$C$5:$C$504&lt;$A34+Configuración!$C$7/1440)*(Escaleta!$E$5:$E$504&gt;$A34)*ROW(Escaleta!$A$5:$A$504))))</f>
        <v/>
      </c>
      <c r="M34" s="50">
        <f>IF(OR($A34="",C$6=""),0,SUMPRODUCT(MAX((Escaleta!$A$5:$A$504=$B$4)*(Escaleta!$H$5:$H$504=C$6)*(Escaleta!$K$5:$K$504&lt;&gt;"Cancelada")*(Escaleta!$C$5:$C$504&lt;$A34+Configuración!$C$7/1440)*(Escaleta!$E$5:$E$504&gt;$A34)*ROW(Escaleta!$A$5:$A$504))))</f>
        <v/>
      </c>
      <c r="N34" s="50">
        <f>IF(OR($A34="",D$6=""),0,SUMPRODUCT(MAX((Escaleta!$A$5:$A$504=$B$4)*(Escaleta!$H$5:$H$504=D$6)*(Escaleta!$K$5:$K$504&lt;&gt;"Cancelada")*(Escaleta!$C$5:$C$504&lt;$A34+Configuración!$C$7/1440)*(Escaleta!$E$5:$E$504&gt;$A34)*ROW(Escaleta!$A$5:$A$504))))</f>
        <v/>
      </c>
      <c r="O34" s="50">
        <f>IF(OR($A34="",E$6=""),0,SUMPRODUCT(MAX((Escaleta!$A$5:$A$504=$B$4)*(Escaleta!$H$5:$H$504=E$6)*(Escaleta!$K$5:$K$504&lt;&gt;"Cancelada")*(Escaleta!$C$5:$C$504&lt;$A34+Configuración!$C$7/1440)*(Escaleta!$E$5:$E$504&gt;$A34)*ROW(Escaleta!$A$5:$A$504))))</f>
        <v/>
      </c>
      <c r="P34" s="50">
        <f>IF(OR($A34="",F$6=""),0,SUMPRODUCT(MAX((Escaleta!$A$5:$A$504=$B$4)*(Escaleta!$H$5:$H$504=F$6)*(Escaleta!$K$5:$K$504&lt;&gt;"Cancelada")*(Escaleta!$C$5:$C$504&lt;$A34+Configuración!$C$7/1440)*(Escaleta!$E$5:$E$504&gt;$A34)*ROW(Escaleta!$A$5:$A$504))))</f>
        <v/>
      </c>
      <c r="Q34" s="50">
        <f>IF(OR($A34="",G$6=""),0,SUMPRODUCT(MAX((Escaleta!$A$5:$A$504=$B$4)*(Escaleta!$H$5:$H$504=G$6)*(Escaleta!$K$5:$K$504&lt;&gt;"Cancelada")*(Escaleta!$C$5:$C$504&lt;$A34+Configuración!$C$7/1440)*(Escaleta!$E$5:$E$504&gt;$A34)*ROW(Escaleta!$A$5:$A$504))))</f>
        <v/>
      </c>
      <c r="R34" s="50">
        <f>IF(OR($A34="",H$6=""),0,SUMPRODUCT(MAX((Escaleta!$A$5:$A$504=$B$4)*(Escaleta!$H$5:$H$504=H$6)*(Escaleta!$K$5:$K$504&lt;&gt;"Cancelada")*(Escaleta!$C$5:$C$504&lt;$A34+Configuración!$C$7/1440)*(Escaleta!$E$5:$E$504&gt;$A34)*ROW(Escaleta!$A$5:$A$504))))</f>
        <v/>
      </c>
      <c r="S34" s="50">
        <f>IF(OR($A34="",I$6=""),0,SUMPRODUCT(MAX((Escaleta!$A$5:$A$504=$B$4)*(Escaleta!$H$5:$H$504=I$6)*(Escaleta!$K$5:$K$504&lt;&gt;"Cancelada")*(Escaleta!$C$5:$C$504&lt;$A34+Configuración!$C$7/1440)*(Escaleta!$E$5:$E$504&gt;$A34)*ROW(Escaleta!$A$5:$A$504))))</f>
        <v/>
      </c>
      <c r="U34" s="50">
        <f>IF(L34=0,"",INDEX(Escaleta!$I$1:$I$504,L34))</f>
        <v/>
      </c>
      <c r="V34" s="50">
        <f>IF(M34=0,"",INDEX(Escaleta!$I$1:$I$504,M34))</f>
        <v/>
      </c>
      <c r="W34" s="50">
        <f>IF(N34=0,"",INDEX(Escaleta!$I$1:$I$504,N34))</f>
        <v/>
      </c>
      <c r="X34" s="50">
        <f>IF(O34=0,"",INDEX(Escaleta!$I$1:$I$504,O34))</f>
        <v/>
      </c>
      <c r="Y34" s="50">
        <f>IF(P34=0,"",INDEX(Escaleta!$I$1:$I$504,P34))</f>
        <v/>
      </c>
      <c r="Z34" s="50">
        <f>IF(Q34=0,"",INDEX(Escaleta!$I$1:$I$504,Q34))</f>
        <v/>
      </c>
      <c r="AA34" s="50">
        <f>IF(R34=0,"",INDEX(Escaleta!$I$1:$I$504,R34))</f>
        <v/>
      </c>
      <c r="AB34" s="50">
        <f>IF(S34=0,"",INDEX(Escaleta!$I$1:$I$504,S34))</f>
        <v/>
      </c>
    </row>
    <row r="35" ht="18" customHeight="1">
      <c r="A35" s="48">
        <f>IF(A34="","",IF(A34+Configuración!$C$7/1440&gt;Configuración!$C$6-0.0001,"",A34+Configuración!$C$7/1440))</f>
        <v/>
      </c>
      <c r="B35" s="49">
        <f>IF(L35=0,"",IF(L35&lt;&gt;L34,INDEX(Escaleta!$F$1:$F$504,L35),IF(L35&lt;&gt;L33,TEXT(INDEX(Escaleta!$C$1:$C$504,L35),"hh:mm")&amp;"–"&amp;TEXT(INDEX(Escaleta!$E$1:$E$504,L35),"hh:mm"),"")))</f>
        <v/>
      </c>
      <c r="C35" s="49">
        <f>IF(M35=0,"",IF(M35&lt;&gt;M34,INDEX(Escaleta!$F$1:$F$504,M35),IF(M35&lt;&gt;M33,TEXT(INDEX(Escaleta!$C$1:$C$504,M35),"hh:mm")&amp;"–"&amp;TEXT(INDEX(Escaleta!$E$1:$E$504,M35),"hh:mm"),"")))</f>
        <v/>
      </c>
      <c r="D35" s="49">
        <f>IF(N35=0,"",IF(N35&lt;&gt;N34,INDEX(Escaleta!$F$1:$F$504,N35),IF(N35&lt;&gt;N33,TEXT(INDEX(Escaleta!$C$1:$C$504,N35),"hh:mm")&amp;"–"&amp;TEXT(INDEX(Escaleta!$E$1:$E$504,N35),"hh:mm"),"")))</f>
        <v/>
      </c>
      <c r="E35" s="49">
        <f>IF(O35=0,"",IF(O35&lt;&gt;O34,INDEX(Escaleta!$F$1:$F$504,O35),IF(O35&lt;&gt;O33,TEXT(INDEX(Escaleta!$C$1:$C$504,O35),"hh:mm")&amp;"–"&amp;TEXT(INDEX(Escaleta!$E$1:$E$504,O35),"hh:mm"),"")))</f>
        <v/>
      </c>
      <c r="F35" s="49">
        <f>IF(P35=0,"",IF(P35&lt;&gt;P34,INDEX(Escaleta!$F$1:$F$504,P35),IF(P35&lt;&gt;P33,TEXT(INDEX(Escaleta!$C$1:$C$504,P35),"hh:mm")&amp;"–"&amp;TEXT(INDEX(Escaleta!$E$1:$E$504,P35),"hh:mm"),"")))</f>
        <v/>
      </c>
      <c r="G35" s="49">
        <f>IF(Q35=0,"",IF(Q35&lt;&gt;Q34,INDEX(Escaleta!$F$1:$F$504,Q35),IF(Q35&lt;&gt;Q33,TEXT(INDEX(Escaleta!$C$1:$C$504,Q35),"hh:mm")&amp;"–"&amp;TEXT(INDEX(Escaleta!$E$1:$E$504,Q35),"hh:mm"),"")))</f>
        <v/>
      </c>
      <c r="H35" s="49">
        <f>IF(R35=0,"",IF(R35&lt;&gt;R34,INDEX(Escaleta!$F$1:$F$504,R35),IF(R35&lt;&gt;R33,TEXT(INDEX(Escaleta!$C$1:$C$504,R35),"hh:mm")&amp;"–"&amp;TEXT(INDEX(Escaleta!$E$1:$E$504,R35),"hh:mm"),"")))</f>
        <v/>
      </c>
      <c r="I35" s="49">
        <f>IF(S35=0,"",IF(S35&lt;&gt;S34,INDEX(Escaleta!$F$1:$F$504,S35),IF(S35&lt;&gt;S33,TEXT(INDEX(Escaleta!$C$1:$C$504,S35),"hh:mm")&amp;"–"&amp;TEXT(INDEX(Escaleta!$E$1:$E$504,S35),"hh:mm"),"")))</f>
        <v/>
      </c>
      <c r="L35" s="50">
        <f>IF(OR($A35="",B$6=""),0,SUMPRODUCT(MAX((Escaleta!$A$5:$A$504=$B$4)*(Escaleta!$H$5:$H$504=B$6)*(Escaleta!$K$5:$K$504&lt;&gt;"Cancelada")*(Escaleta!$C$5:$C$504&lt;$A35+Configuración!$C$7/1440)*(Escaleta!$E$5:$E$504&gt;$A35)*ROW(Escaleta!$A$5:$A$504))))</f>
        <v/>
      </c>
      <c r="M35" s="50">
        <f>IF(OR($A35="",C$6=""),0,SUMPRODUCT(MAX((Escaleta!$A$5:$A$504=$B$4)*(Escaleta!$H$5:$H$504=C$6)*(Escaleta!$K$5:$K$504&lt;&gt;"Cancelada")*(Escaleta!$C$5:$C$504&lt;$A35+Configuración!$C$7/1440)*(Escaleta!$E$5:$E$504&gt;$A35)*ROW(Escaleta!$A$5:$A$504))))</f>
        <v/>
      </c>
      <c r="N35" s="50">
        <f>IF(OR($A35="",D$6=""),0,SUMPRODUCT(MAX((Escaleta!$A$5:$A$504=$B$4)*(Escaleta!$H$5:$H$504=D$6)*(Escaleta!$K$5:$K$504&lt;&gt;"Cancelada")*(Escaleta!$C$5:$C$504&lt;$A35+Configuración!$C$7/1440)*(Escaleta!$E$5:$E$504&gt;$A35)*ROW(Escaleta!$A$5:$A$504))))</f>
        <v/>
      </c>
      <c r="O35" s="50">
        <f>IF(OR($A35="",E$6=""),0,SUMPRODUCT(MAX((Escaleta!$A$5:$A$504=$B$4)*(Escaleta!$H$5:$H$504=E$6)*(Escaleta!$K$5:$K$504&lt;&gt;"Cancelada")*(Escaleta!$C$5:$C$504&lt;$A35+Configuración!$C$7/1440)*(Escaleta!$E$5:$E$504&gt;$A35)*ROW(Escaleta!$A$5:$A$504))))</f>
        <v/>
      </c>
      <c r="P35" s="50">
        <f>IF(OR($A35="",F$6=""),0,SUMPRODUCT(MAX((Escaleta!$A$5:$A$504=$B$4)*(Escaleta!$H$5:$H$504=F$6)*(Escaleta!$K$5:$K$504&lt;&gt;"Cancelada")*(Escaleta!$C$5:$C$504&lt;$A35+Configuración!$C$7/1440)*(Escaleta!$E$5:$E$504&gt;$A35)*ROW(Escaleta!$A$5:$A$504))))</f>
        <v/>
      </c>
      <c r="Q35" s="50">
        <f>IF(OR($A35="",G$6=""),0,SUMPRODUCT(MAX((Escaleta!$A$5:$A$504=$B$4)*(Escaleta!$H$5:$H$504=G$6)*(Escaleta!$K$5:$K$504&lt;&gt;"Cancelada")*(Escaleta!$C$5:$C$504&lt;$A35+Configuración!$C$7/1440)*(Escaleta!$E$5:$E$504&gt;$A35)*ROW(Escaleta!$A$5:$A$504))))</f>
        <v/>
      </c>
      <c r="R35" s="50">
        <f>IF(OR($A35="",H$6=""),0,SUMPRODUCT(MAX((Escaleta!$A$5:$A$504=$B$4)*(Escaleta!$H$5:$H$504=H$6)*(Escaleta!$K$5:$K$504&lt;&gt;"Cancelada")*(Escaleta!$C$5:$C$504&lt;$A35+Configuración!$C$7/1440)*(Escaleta!$E$5:$E$504&gt;$A35)*ROW(Escaleta!$A$5:$A$504))))</f>
        <v/>
      </c>
      <c r="S35" s="50">
        <f>IF(OR($A35="",I$6=""),0,SUMPRODUCT(MAX((Escaleta!$A$5:$A$504=$B$4)*(Escaleta!$H$5:$H$504=I$6)*(Escaleta!$K$5:$K$504&lt;&gt;"Cancelada")*(Escaleta!$C$5:$C$504&lt;$A35+Configuración!$C$7/1440)*(Escaleta!$E$5:$E$504&gt;$A35)*ROW(Escaleta!$A$5:$A$504))))</f>
        <v/>
      </c>
      <c r="U35" s="50">
        <f>IF(L35=0,"",INDEX(Escaleta!$I$1:$I$504,L35))</f>
        <v/>
      </c>
      <c r="V35" s="50">
        <f>IF(M35=0,"",INDEX(Escaleta!$I$1:$I$504,M35))</f>
        <v/>
      </c>
      <c r="W35" s="50">
        <f>IF(N35=0,"",INDEX(Escaleta!$I$1:$I$504,N35))</f>
        <v/>
      </c>
      <c r="X35" s="50">
        <f>IF(O35=0,"",INDEX(Escaleta!$I$1:$I$504,O35))</f>
        <v/>
      </c>
      <c r="Y35" s="50">
        <f>IF(P35=0,"",INDEX(Escaleta!$I$1:$I$504,P35))</f>
        <v/>
      </c>
      <c r="Z35" s="50">
        <f>IF(Q35=0,"",INDEX(Escaleta!$I$1:$I$504,Q35))</f>
        <v/>
      </c>
      <c r="AA35" s="50">
        <f>IF(R35=0,"",INDEX(Escaleta!$I$1:$I$504,R35))</f>
        <v/>
      </c>
      <c r="AB35" s="50">
        <f>IF(S35=0,"",INDEX(Escaleta!$I$1:$I$504,S35))</f>
        <v/>
      </c>
    </row>
    <row r="36" ht="18" customHeight="1">
      <c r="A36" s="48">
        <f>IF(A35="","",IF(A35+Configuración!$C$7/1440&gt;Configuración!$C$6-0.0001,"",A35+Configuración!$C$7/1440))</f>
        <v/>
      </c>
      <c r="B36" s="49">
        <f>IF(L36=0,"",IF(L36&lt;&gt;L35,INDEX(Escaleta!$F$1:$F$504,L36),IF(L36&lt;&gt;L34,TEXT(INDEX(Escaleta!$C$1:$C$504,L36),"hh:mm")&amp;"–"&amp;TEXT(INDEX(Escaleta!$E$1:$E$504,L36),"hh:mm"),"")))</f>
        <v/>
      </c>
      <c r="C36" s="49">
        <f>IF(M36=0,"",IF(M36&lt;&gt;M35,INDEX(Escaleta!$F$1:$F$504,M36),IF(M36&lt;&gt;M34,TEXT(INDEX(Escaleta!$C$1:$C$504,M36),"hh:mm")&amp;"–"&amp;TEXT(INDEX(Escaleta!$E$1:$E$504,M36),"hh:mm"),"")))</f>
        <v/>
      </c>
      <c r="D36" s="49">
        <f>IF(N36=0,"",IF(N36&lt;&gt;N35,INDEX(Escaleta!$F$1:$F$504,N36),IF(N36&lt;&gt;N34,TEXT(INDEX(Escaleta!$C$1:$C$504,N36),"hh:mm")&amp;"–"&amp;TEXT(INDEX(Escaleta!$E$1:$E$504,N36),"hh:mm"),"")))</f>
        <v/>
      </c>
      <c r="E36" s="49">
        <f>IF(O36=0,"",IF(O36&lt;&gt;O35,INDEX(Escaleta!$F$1:$F$504,O36),IF(O36&lt;&gt;O34,TEXT(INDEX(Escaleta!$C$1:$C$504,O36),"hh:mm")&amp;"–"&amp;TEXT(INDEX(Escaleta!$E$1:$E$504,O36),"hh:mm"),"")))</f>
        <v/>
      </c>
      <c r="F36" s="49">
        <f>IF(P36=0,"",IF(P36&lt;&gt;P35,INDEX(Escaleta!$F$1:$F$504,P36),IF(P36&lt;&gt;P34,TEXT(INDEX(Escaleta!$C$1:$C$504,P36),"hh:mm")&amp;"–"&amp;TEXT(INDEX(Escaleta!$E$1:$E$504,P36),"hh:mm"),"")))</f>
        <v/>
      </c>
      <c r="G36" s="49">
        <f>IF(Q36=0,"",IF(Q36&lt;&gt;Q35,INDEX(Escaleta!$F$1:$F$504,Q36),IF(Q36&lt;&gt;Q34,TEXT(INDEX(Escaleta!$C$1:$C$504,Q36),"hh:mm")&amp;"–"&amp;TEXT(INDEX(Escaleta!$E$1:$E$504,Q36),"hh:mm"),"")))</f>
        <v/>
      </c>
      <c r="H36" s="49">
        <f>IF(R36=0,"",IF(R36&lt;&gt;R35,INDEX(Escaleta!$F$1:$F$504,R36),IF(R36&lt;&gt;R34,TEXT(INDEX(Escaleta!$C$1:$C$504,R36),"hh:mm")&amp;"–"&amp;TEXT(INDEX(Escaleta!$E$1:$E$504,R36),"hh:mm"),"")))</f>
        <v/>
      </c>
      <c r="I36" s="49">
        <f>IF(S36=0,"",IF(S36&lt;&gt;S35,INDEX(Escaleta!$F$1:$F$504,S36),IF(S36&lt;&gt;S34,TEXT(INDEX(Escaleta!$C$1:$C$504,S36),"hh:mm")&amp;"–"&amp;TEXT(INDEX(Escaleta!$E$1:$E$504,S36),"hh:mm"),"")))</f>
        <v/>
      </c>
      <c r="L36" s="50">
        <f>IF(OR($A36="",B$6=""),0,SUMPRODUCT(MAX((Escaleta!$A$5:$A$504=$B$4)*(Escaleta!$H$5:$H$504=B$6)*(Escaleta!$K$5:$K$504&lt;&gt;"Cancelada")*(Escaleta!$C$5:$C$504&lt;$A36+Configuración!$C$7/1440)*(Escaleta!$E$5:$E$504&gt;$A36)*ROW(Escaleta!$A$5:$A$504))))</f>
        <v/>
      </c>
      <c r="M36" s="50">
        <f>IF(OR($A36="",C$6=""),0,SUMPRODUCT(MAX((Escaleta!$A$5:$A$504=$B$4)*(Escaleta!$H$5:$H$504=C$6)*(Escaleta!$K$5:$K$504&lt;&gt;"Cancelada")*(Escaleta!$C$5:$C$504&lt;$A36+Configuración!$C$7/1440)*(Escaleta!$E$5:$E$504&gt;$A36)*ROW(Escaleta!$A$5:$A$504))))</f>
        <v/>
      </c>
      <c r="N36" s="50">
        <f>IF(OR($A36="",D$6=""),0,SUMPRODUCT(MAX((Escaleta!$A$5:$A$504=$B$4)*(Escaleta!$H$5:$H$504=D$6)*(Escaleta!$K$5:$K$504&lt;&gt;"Cancelada")*(Escaleta!$C$5:$C$504&lt;$A36+Configuración!$C$7/1440)*(Escaleta!$E$5:$E$504&gt;$A36)*ROW(Escaleta!$A$5:$A$504))))</f>
        <v/>
      </c>
      <c r="O36" s="50">
        <f>IF(OR($A36="",E$6=""),0,SUMPRODUCT(MAX((Escaleta!$A$5:$A$504=$B$4)*(Escaleta!$H$5:$H$504=E$6)*(Escaleta!$K$5:$K$504&lt;&gt;"Cancelada")*(Escaleta!$C$5:$C$504&lt;$A36+Configuración!$C$7/1440)*(Escaleta!$E$5:$E$504&gt;$A36)*ROW(Escaleta!$A$5:$A$504))))</f>
        <v/>
      </c>
      <c r="P36" s="50">
        <f>IF(OR($A36="",F$6=""),0,SUMPRODUCT(MAX((Escaleta!$A$5:$A$504=$B$4)*(Escaleta!$H$5:$H$504=F$6)*(Escaleta!$K$5:$K$504&lt;&gt;"Cancelada")*(Escaleta!$C$5:$C$504&lt;$A36+Configuración!$C$7/1440)*(Escaleta!$E$5:$E$504&gt;$A36)*ROW(Escaleta!$A$5:$A$504))))</f>
        <v/>
      </c>
      <c r="Q36" s="50">
        <f>IF(OR($A36="",G$6=""),0,SUMPRODUCT(MAX((Escaleta!$A$5:$A$504=$B$4)*(Escaleta!$H$5:$H$504=G$6)*(Escaleta!$K$5:$K$504&lt;&gt;"Cancelada")*(Escaleta!$C$5:$C$504&lt;$A36+Configuración!$C$7/1440)*(Escaleta!$E$5:$E$504&gt;$A36)*ROW(Escaleta!$A$5:$A$504))))</f>
        <v/>
      </c>
      <c r="R36" s="50">
        <f>IF(OR($A36="",H$6=""),0,SUMPRODUCT(MAX((Escaleta!$A$5:$A$504=$B$4)*(Escaleta!$H$5:$H$504=H$6)*(Escaleta!$K$5:$K$504&lt;&gt;"Cancelada")*(Escaleta!$C$5:$C$504&lt;$A36+Configuración!$C$7/1440)*(Escaleta!$E$5:$E$504&gt;$A36)*ROW(Escaleta!$A$5:$A$504))))</f>
        <v/>
      </c>
      <c r="S36" s="50">
        <f>IF(OR($A36="",I$6=""),0,SUMPRODUCT(MAX((Escaleta!$A$5:$A$504=$B$4)*(Escaleta!$H$5:$H$504=I$6)*(Escaleta!$K$5:$K$504&lt;&gt;"Cancelada")*(Escaleta!$C$5:$C$504&lt;$A36+Configuración!$C$7/1440)*(Escaleta!$E$5:$E$504&gt;$A36)*ROW(Escaleta!$A$5:$A$504))))</f>
        <v/>
      </c>
      <c r="U36" s="50">
        <f>IF(L36=0,"",INDEX(Escaleta!$I$1:$I$504,L36))</f>
        <v/>
      </c>
      <c r="V36" s="50">
        <f>IF(M36=0,"",INDEX(Escaleta!$I$1:$I$504,M36))</f>
        <v/>
      </c>
      <c r="W36" s="50">
        <f>IF(N36=0,"",INDEX(Escaleta!$I$1:$I$504,N36))</f>
        <v/>
      </c>
      <c r="X36" s="50">
        <f>IF(O36=0,"",INDEX(Escaleta!$I$1:$I$504,O36))</f>
        <v/>
      </c>
      <c r="Y36" s="50">
        <f>IF(P36=0,"",INDEX(Escaleta!$I$1:$I$504,P36))</f>
        <v/>
      </c>
      <c r="Z36" s="50">
        <f>IF(Q36=0,"",INDEX(Escaleta!$I$1:$I$504,Q36))</f>
        <v/>
      </c>
      <c r="AA36" s="50">
        <f>IF(R36=0,"",INDEX(Escaleta!$I$1:$I$504,R36))</f>
        <v/>
      </c>
      <c r="AB36" s="50">
        <f>IF(S36=0,"",INDEX(Escaleta!$I$1:$I$504,S36))</f>
        <v/>
      </c>
    </row>
    <row r="37" ht="18" customHeight="1">
      <c r="A37" s="48">
        <f>IF(A36="","",IF(A36+Configuración!$C$7/1440&gt;Configuración!$C$6-0.0001,"",A36+Configuración!$C$7/1440))</f>
        <v/>
      </c>
      <c r="B37" s="49">
        <f>IF(L37=0,"",IF(L37&lt;&gt;L36,INDEX(Escaleta!$F$1:$F$504,L37),IF(L37&lt;&gt;L35,TEXT(INDEX(Escaleta!$C$1:$C$504,L37),"hh:mm")&amp;"–"&amp;TEXT(INDEX(Escaleta!$E$1:$E$504,L37),"hh:mm"),"")))</f>
        <v/>
      </c>
      <c r="C37" s="49">
        <f>IF(M37=0,"",IF(M37&lt;&gt;M36,INDEX(Escaleta!$F$1:$F$504,M37),IF(M37&lt;&gt;M35,TEXT(INDEX(Escaleta!$C$1:$C$504,M37),"hh:mm")&amp;"–"&amp;TEXT(INDEX(Escaleta!$E$1:$E$504,M37),"hh:mm"),"")))</f>
        <v/>
      </c>
      <c r="D37" s="49">
        <f>IF(N37=0,"",IF(N37&lt;&gt;N36,INDEX(Escaleta!$F$1:$F$504,N37),IF(N37&lt;&gt;N35,TEXT(INDEX(Escaleta!$C$1:$C$504,N37),"hh:mm")&amp;"–"&amp;TEXT(INDEX(Escaleta!$E$1:$E$504,N37),"hh:mm"),"")))</f>
        <v/>
      </c>
      <c r="E37" s="49">
        <f>IF(O37=0,"",IF(O37&lt;&gt;O36,INDEX(Escaleta!$F$1:$F$504,O37),IF(O37&lt;&gt;O35,TEXT(INDEX(Escaleta!$C$1:$C$504,O37),"hh:mm")&amp;"–"&amp;TEXT(INDEX(Escaleta!$E$1:$E$504,O37),"hh:mm"),"")))</f>
        <v/>
      </c>
      <c r="F37" s="49">
        <f>IF(P37=0,"",IF(P37&lt;&gt;P36,INDEX(Escaleta!$F$1:$F$504,P37),IF(P37&lt;&gt;P35,TEXT(INDEX(Escaleta!$C$1:$C$504,P37),"hh:mm")&amp;"–"&amp;TEXT(INDEX(Escaleta!$E$1:$E$504,P37),"hh:mm"),"")))</f>
        <v/>
      </c>
      <c r="G37" s="49">
        <f>IF(Q37=0,"",IF(Q37&lt;&gt;Q36,INDEX(Escaleta!$F$1:$F$504,Q37),IF(Q37&lt;&gt;Q35,TEXT(INDEX(Escaleta!$C$1:$C$504,Q37),"hh:mm")&amp;"–"&amp;TEXT(INDEX(Escaleta!$E$1:$E$504,Q37),"hh:mm"),"")))</f>
        <v/>
      </c>
      <c r="H37" s="49">
        <f>IF(R37=0,"",IF(R37&lt;&gt;R36,INDEX(Escaleta!$F$1:$F$504,R37),IF(R37&lt;&gt;R35,TEXT(INDEX(Escaleta!$C$1:$C$504,R37),"hh:mm")&amp;"–"&amp;TEXT(INDEX(Escaleta!$E$1:$E$504,R37),"hh:mm"),"")))</f>
        <v/>
      </c>
      <c r="I37" s="49">
        <f>IF(S37=0,"",IF(S37&lt;&gt;S36,INDEX(Escaleta!$F$1:$F$504,S37),IF(S37&lt;&gt;S35,TEXT(INDEX(Escaleta!$C$1:$C$504,S37),"hh:mm")&amp;"–"&amp;TEXT(INDEX(Escaleta!$E$1:$E$504,S37),"hh:mm"),"")))</f>
        <v/>
      </c>
      <c r="L37" s="50">
        <f>IF(OR($A37="",B$6=""),0,SUMPRODUCT(MAX((Escaleta!$A$5:$A$504=$B$4)*(Escaleta!$H$5:$H$504=B$6)*(Escaleta!$K$5:$K$504&lt;&gt;"Cancelada")*(Escaleta!$C$5:$C$504&lt;$A37+Configuración!$C$7/1440)*(Escaleta!$E$5:$E$504&gt;$A37)*ROW(Escaleta!$A$5:$A$504))))</f>
        <v/>
      </c>
      <c r="M37" s="50">
        <f>IF(OR($A37="",C$6=""),0,SUMPRODUCT(MAX((Escaleta!$A$5:$A$504=$B$4)*(Escaleta!$H$5:$H$504=C$6)*(Escaleta!$K$5:$K$504&lt;&gt;"Cancelada")*(Escaleta!$C$5:$C$504&lt;$A37+Configuración!$C$7/1440)*(Escaleta!$E$5:$E$504&gt;$A37)*ROW(Escaleta!$A$5:$A$504))))</f>
        <v/>
      </c>
      <c r="N37" s="50">
        <f>IF(OR($A37="",D$6=""),0,SUMPRODUCT(MAX((Escaleta!$A$5:$A$504=$B$4)*(Escaleta!$H$5:$H$504=D$6)*(Escaleta!$K$5:$K$504&lt;&gt;"Cancelada")*(Escaleta!$C$5:$C$504&lt;$A37+Configuración!$C$7/1440)*(Escaleta!$E$5:$E$504&gt;$A37)*ROW(Escaleta!$A$5:$A$504))))</f>
        <v/>
      </c>
      <c r="O37" s="50">
        <f>IF(OR($A37="",E$6=""),0,SUMPRODUCT(MAX((Escaleta!$A$5:$A$504=$B$4)*(Escaleta!$H$5:$H$504=E$6)*(Escaleta!$K$5:$K$504&lt;&gt;"Cancelada")*(Escaleta!$C$5:$C$504&lt;$A37+Configuración!$C$7/1440)*(Escaleta!$E$5:$E$504&gt;$A37)*ROW(Escaleta!$A$5:$A$504))))</f>
        <v/>
      </c>
      <c r="P37" s="50">
        <f>IF(OR($A37="",F$6=""),0,SUMPRODUCT(MAX((Escaleta!$A$5:$A$504=$B$4)*(Escaleta!$H$5:$H$504=F$6)*(Escaleta!$K$5:$K$504&lt;&gt;"Cancelada")*(Escaleta!$C$5:$C$504&lt;$A37+Configuración!$C$7/1440)*(Escaleta!$E$5:$E$504&gt;$A37)*ROW(Escaleta!$A$5:$A$504))))</f>
        <v/>
      </c>
      <c r="Q37" s="50">
        <f>IF(OR($A37="",G$6=""),0,SUMPRODUCT(MAX((Escaleta!$A$5:$A$504=$B$4)*(Escaleta!$H$5:$H$504=G$6)*(Escaleta!$K$5:$K$504&lt;&gt;"Cancelada")*(Escaleta!$C$5:$C$504&lt;$A37+Configuración!$C$7/1440)*(Escaleta!$E$5:$E$504&gt;$A37)*ROW(Escaleta!$A$5:$A$504))))</f>
        <v/>
      </c>
      <c r="R37" s="50">
        <f>IF(OR($A37="",H$6=""),0,SUMPRODUCT(MAX((Escaleta!$A$5:$A$504=$B$4)*(Escaleta!$H$5:$H$504=H$6)*(Escaleta!$K$5:$K$504&lt;&gt;"Cancelada")*(Escaleta!$C$5:$C$504&lt;$A37+Configuración!$C$7/1440)*(Escaleta!$E$5:$E$504&gt;$A37)*ROW(Escaleta!$A$5:$A$504))))</f>
        <v/>
      </c>
      <c r="S37" s="50">
        <f>IF(OR($A37="",I$6=""),0,SUMPRODUCT(MAX((Escaleta!$A$5:$A$504=$B$4)*(Escaleta!$H$5:$H$504=I$6)*(Escaleta!$K$5:$K$504&lt;&gt;"Cancelada")*(Escaleta!$C$5:$C$504&lt;$A37+Configuración!$C$7/1440)*(Escaleta!$E$5:$E$504&gt;$A37)*ROW(Escaleta!$A$5:$A$504))))</f>
        <v/>
      </c>
      <c r="U37" s="50">
        <f>IF(L37=0,"",INDEX(Escaleta!$I$1:$I$504,L37))</f>
        <v/>
      </c>
      <c r="V37" s="50">
        <f>IF(M37=0,"",INDEX(Escaleta!$I$1:$I$504,M37))</f>
        <v/>
      </c>
      <c r="W37" s="50">
        <f>IF(N37=0,"",INDEX(Escaleta!$I$1:$I$504,N37))</f>
        <v/>
      </c>
      <c r="X37" s="50">
        <f>IF(O37=0,"",INDEX(Escaleta!$I$1:$I$504,O37))</f>
        <v/>
      </c>
      <c r="Y37" s="50">
        <f>IF(P37=0,"",INDEX(Escaleta!$I$1:$I$504,P37))</f>
        <v/>
      </c>
      <c r="Z37" s="50">
        <f>IF(Q37=0,"",INDEX(Escaleta!$I$1:$I$504,Q37))</f>
        <v/>
      </c>
      <c r="AA37" s="50">
        <f>IF(R37=0,"",INDEX(Escaleta!$I$1:$I$504,R37))</f>
        <v/>
      </c>
      <c r="AB37" s="50">
        <f>IF(S37=0,"",INDEX(Escaleta!$I$1:$I$504,S37))</f>
        <v/>
      </c>
    </row>
    <row r="38" ht="18" customHeight="1">
      <c r="A38" s="48">
        <f>IF(A37="","",IF(A37+Configuración!$C$7/1440&gt;Configuración!$C$6-0.0001,"",A37+Configuración!$C$7/1440))</f>
        <v/>
      </c>
      <c r="B38" s="49">
        <f>IF(L38=0,"",IF(L38&lt;&gt;L37,INDEX(Escaleta!$F$1:$F$504,L38),IF(L38&lt;&gt;L36,TEXT(INDEX(Escaleta!$C$1:$C$504,L38),"hh:mm")&amp;"–"&amp;TEXT(INDEX(Escaleta!$E$1:$E$504,L38),"hh:mm"),"")))</f>
        <v/>
      </c>
      <c r="C38" s="49">
        <f>IF(M38=0,"",IF(M38&lt;&gt;M37,INDEX(Escaleta!$F$1:$F$504,M38),IF(M38&lt;&gt;M36,TEXT(INDEX(Escaleta!$C$1:$C$504,M38),"hh:mm")&amp;"–"&amp;TEXT(INDEX(Escaleta!$E$1:$E$504,M38),"hh:mm"),"")))</f>
        <v/>
      </c>
      <c r="D38" s="49">
        <f>IF(N38=0,"",IF(N38&lt;&gt;N37,INDEX(Escaleta!$F$1:$F$504,N38),IF(N38&lt;&gt;N36,TEXT(INDEX(Escaleta!$C$1:$C$504,N38),"hh:mm")&amp;"–"&amp;TEXT(INDEX(Escaleta!$E$1:$E$504,N38),"hh:mm"),"")))</f>
        <v/>
      </c>
      <c r="E38" s="49">
        <f>IF(O38=0,"",IF(O38&lt;&gt;O37,INDEX(Escaleta!$F$1:$F$504,O38),IF(O38&lt;&gt;O36,TEXT(INDEX(Escaleta!$C$1:$C$504,O38),"hh:mm")&amp;"–"&amp;TEXT(INDEX(Escaleta!$E$1:$E$504,O38),"hh:mm"),"")))</f>
        <v/>
      </c>
      <c r="F38" s="49">
        <f>IF(P38=0,"",IF(P38&lt;&gt;P37,INDEX(Escaleta!$F$1:$F$504,P38),IF(P38&lt;&gt;P36,TEXT(INDEX(Escaleta!$C$1:$C$504,P38),"hh:mm")&amp;"–"&amp;TEXT(INDEX(Escaleta!$E$1:$E$504,P38),"hh:mm"),"")))</f>
        <v/>
      </c>
      <c r="G38" s="49">
        <f>IF(Q38=0,"",IF(Q38&lt;&gt;Q37,INDEX(Escaleta!$F$1:$F$504,Q38),IF(Q38&lt;&gt;Q36,TEXT(INDEX(Escaleta!$C$1:$C$504,Q38),"hh:mm")&amp;"–"&amp;TEXT(INDEX(Escaleta!$E$1:$E$504,Q38),"hh:mm"),"")))</f>
        <v/>
      </c>
      <c r="H38" s="49">
        <f>IF(R38=0,"",IF(R38&lt;&gt;R37,INDEX(Escaleta!$F$1:$F$504,R38),IF(R38&lt;&gt;R36,TEXT(INDEX(Escaleta!$C$1:$C$504,R38),"hh:mm")&amp;"–"&amp;TEXT(INDEX(Escaleta!$E$1:$E$504,R38),"hh:mm"),"")))</f>
        <v/>
      </c>
      <c r="I38" s="49">
        <f>IF(S38=0,"",IF(S38&lt;&gt;S37,INDEX(Escaleta!$F$1:$F$504,S38),IF(S38&lt;&gt;S36,TEXT(INDEX(Escaleta!$C$1:$C$504,S38),"hh:mm")&amp;"–"&amp;TEXT(INDEX(Escaleta!$E$1:$E$504,S38),"hh:mm"),"")))</f>
        <v/>
      </c>
      <c r="L38" s="50">
        <f>IF(OR($A38="",B$6=""),0,SUMPRODUCT(MAX((Escaleta!$A$5:$A$504=$B$4)*(Escaleta!$H$5:$H$504=B$6)*(Escaleta!$K$5:$K$504&lt;&gt;"Cancelada")*(Escaleta!$C$5:$C$504&lt;$A38+Configuración!$C$7/1440)*(Escaleta!$E$5:$E$504&gt;$A38)*ROW(Escaleta!$A$5:$A$504))))</f>
        <v/>
      </c>
      <c r="M38" s="50">
        <f>IF(OR($A38="",C$6=""),0,SUMPRODUCT(MAX((Escaleta!$A$5:$A$504=$B$4)*(Escaleta!$H$5:$H$504=C$6)*(Escaleta!$K$5:$K$504&lt;&gt;"Cancelada")*(Escaleta!$C$5:$C$504&lt;$A38+Configuración!$C$7/1440)*(Escaleta!$E$5:$E$504&gt;$A38)*ROW(Escaleta!$A$5:$A$504))))</f>
        <v/>
      </c>
      <c r="N38" s="50">
        <f>IF(OR($A38="",D$6=""),0,SUMPRODUCT(MAX((Escaleta!$A$5:$A$504=$B$4)*(Escaleta!$H$5:$H$504=D$6)*(Escaleta!$K$5:$K$504&lt;&gt;"Cancelada")*(Escaleta!$C$5:$C$504&lt;$A38+Configuración!$C$7/1440)*(Escaleta!$E$5:$E$504&gt;$A38)*ROW(Escaleta!$A$5:$A$504))))</f>
        <v/>
      </c>
      <c r="O38" s="50">
        <f>IF(OR($A38="",E$6=""),0,SUMPRODUCT(MAX((Escaleta!$A$5:$A$504=$B$4)*(Escaleta!$H$5:$H$504=E$6)*(Escaleta!$K$5:$K$504&lt;&gt;"Cancelada")*(Escaleta!$C$5:$C$504&lt;$A38+Configuración!$C$7/1440)*(Escaleta!$E$5:$E$504&gt;$A38)*ROW(Escaleta!$A$5:$A$504))))</f>
        <v/>
      </c>
      <c r="P38" s="50">
        <f>IF(OR($A38="",F$6=""),0,SUMPRODUCT(MAX((Escaleta!$A$5:$A$504=$B$4)*(Escaleta!$H$5:$H$504=F$6)*(Escaleta!$K$5:$K$504&lt;&gt;"Cancelada")*(Escaleta!$C$5:$C$504&lt;$A38+Configuración!$C$7/1440)*(Escaleta!$E$5:$E$504&gt;$A38)*ROW(Escaleta!$A$5:$A$504))))</f>
        <v/>
      </c>
      <c r="Q38" s="50">
        <f>IF(OR($A38="",G$6=""),0,SUMPRODUCT(MAX((Escaleta!$A$5:$A$504=$B$4)*(Escaleta!$H$5:$H$504=G$6)*(Escaleta!$K$5:$K$504&lt;&gt;"Cancelada")*(Escaleta!$C$5:$C$504&lt;$A38+Configuración!$C$7/1440)*(Escaleta!$E$5:$E$504&gt;$A38)*ROW(Escaleta!$A$5:$A$504))))</f>
        <v/>
      </c>
      <c r="R38" s="50">
        <f>IF(OR($A38="",H$6=""),0,SUMPRODUCT(MAX((Escaleta!$A$5:$A$504=$B$4)*(Escaleta!$H$5:$H$504=H$6)*(Escaleta!$K$5:$K$504&lt;&gt;"Cancelada")*(Escaleta!$C$5:$C$504&lt;$A38+Configuración!$C$7/1440)*(Escaleta!$E$5:$E$504&gt;$A38)*ROW(Escaleta!$A$5:$A$504))))</f>
        <v/>
      </c>
      <c r="S38" s="50">
        <f>IF(OR($A38="",I$6=""),0,SUMPRODUCT(MAX((Escaleta!$A$5:$A$504=$B$4)*(Escaleta!$H$5:$H$504=I$6)*(Escaleta!$K$5:$K$504&lt;&gt;"Cancelada")*(Escaleta!$C$5:$C$504&lt;$A38+Configuración!$C$7/1440)*(Escaleta!$E$5:$E$504&gt;$A38)*ROW(Escaleta!$A$5:$A$504))))</f>
        <v/>
      </c>
      <c r="U38" s="50">
        <f>IF(L38=0,"",INDEX(Escaleta!$I$1:$I$504,L38))</f>
        <v/>
      </c>
      <c r="V38" s="50">
        <f>IF(M38=0,"",INDEX(Escaleta!$I$1:$I$504,M38))</f>
        <v/>
      </c>
      <c r="W38" s="50">
        <f>IF(N38=0,"",INDEX(Escaleta!$I$1:$I$504,N38))</f>
        <v/>
      </c>
      <c r="X38" s="50">
        <f>IF(O38=0,"",INDEX(Escaleta!$I$1:$I$504,O38))</f>
        <v/>
      </c>
      <c r="Y38" s="50">
        <f>IF(P38=0,"",INDEX(Escaleta!$I$1:$I$504,P38))</f>
        <v/>
      </c>
      <c r="Z38" s="50">
        <f>IF(Q38=0,"",INDEX(Escaleta!$I$1:$I$504,Q38))</f>
        <v/>
      </c>
      <c r="AA38" s="50">
        <f>IF(R38=0,"",INDEX(Escaleta!$I$1:$I$504,R38))</f>
        <v/>
      </c>
      <c r="AB38" s="50">
        <f>IF(S38=0,"",INDEX(Escaleta!$I$1:$I$504,S38))</f>
        <v/>
      </c>
    </row>
    <row r="39" ht="18" customHeight="1">
      <c r="A39" s="48">
        <f>IF(A38="","",IF(A38+Configuración!$C$7/1440&gt;Configuración!$C$6-0.0001,"",A38+Configuración!$C$7/1440))</f>
        <v/>
      </c>
      <c r="B39" s="49">
        <f>IF(L39=0,"",IF(L39&lt;&gt;L38,INDEX(Escaleta!$F$1:$F$504,L39),IF(L39&lt;&gt;L37,TEXT(INDEX(Escaleta!$C$1:$C$504,L39),"hh:mm")&amp;"–"&amp;TEXT(INDEX(Escaleta!$E$1:$E$504,L39),"hh:mm"),"")))</f>
        <v/>
      </c>
      <c r="C39" s="49">
        <f>IF(M39=0,"",IF(M39&lt;&gt;M38,INDEX(Escaleta!$F$1:$F$504,M39),IF(M39&lt;&gt;M37,TEXT(INDEX(Escaleta!$C$1:$C$504,M39),"hh:mm")&amp;"–"&amp;TEXT(INDEX(Escaleta!$E$1:$E$504,M39),"hh:mm"),"")))</f>
        <v/>
      </c>
      <c r="D39" s="49">
        <f>IF(N39=0,"",IF(N39&lt;&gt;N38,INDEX(Escaleta!$F$1:$F$504,N39),IF(N39&lt;&gt;N37,TEXT(INDEX(Escaleta!$C$1:$C$504,N39),"hh:mm")&amp;"–"&amp;TEXT(INDEX(Escaleta!$E$1:$E$504,N39),"hh:mm"),"")))</f>
        <v/>
      </c>
      <c r="E39" s="49">
        <f>IF(O39=0,"",IF(O39&lt;&gt;O38,INDEX(Escaleta!$F$1:$F$504,O39),IF(O39&lt;&gt;O37,TEXT(INDEX(Escaleta!$C$1:$C$504,O39),"hh:mm")&amp;"–"&amp;TEXT(INDEX(Escaleta!$E$1:$E$504,O39),"hh:mm"),"")))</f>
        <v/>
      </c>
      <c r="F39" s="49">
        <f>IF(P39=0,"",IF(P39&lt;&gt;P38,INDEX(Escaleta!$F$1:$F$504,P39),IF(P39&lt;&gt;P37,TEXT(INDEX(Escaleta!$C$1:$C$504,P39),"hh:mm")&amp;"–"&amp;TEXT(INDEX(Escaleta!$E$1:$E$504,P39),"hh:mm"),"")))</f>
        <v/>
      </c>
      <c r="G39" s="49">
        <f>IF(Q39=0,"",IF(Q39&lt;&gt;Q38,INDEX(Escaleta!$F$1:$F$504,Q39),IF(Q39&lt;&gt;Q37,TEXT(INDEX(Escaleta!$C$1:$C$504,Q39),"hh:mm")&amp;"–"&amp;TEXT(INDEX(Escaleta!$E$1:$E$504,Q39),"hh:mm"),"")))</f>
        <v/>
      </c>
      <c r="H39" s="49">
        <f>IF(R39=0,"",IF(R39&lt;&gt;R38,INDEX(Escaleta!$F$1:$F$504,R39),IF(R39&lt;&gt;R37,TEXT(INDEX(Escaleta!$C$1:$C$504,R39),"hh:mm")&amp;"–"&amp;TEXT(INDEX(Escaleta!$E$1:$E$504,R39),"hh:mm"),"")))</f>
        <v/>
      </c>
      <c r="I39" s="49">
        <f>IF(S39=0,"",IF(S39&lt;&gt;S38,INDEX(Escaleta!$F$1:$F$504,S39),IF(S39&lt;&gt;S37,TEXT(INDEX(Escaleta!$C$1:$C$504,S39),"hh:mm")&amp;"–"&amp;TEXT(INDEX(Escaleta!$E$1:$E$504,S39),"hh:mm"),"")))</f>
        <v/>
      </c>
      <c r="L39" s="50">
        <f>IF(OR($A39="",B$6=""),0,SUMPRODUCT(MAX((Escaleta!$A$5:$A$504=$B$4)*(Escaleta!$H$5:$H$504=B$6)*(Escaleta!$K$5:$K$504&lt;&gt;"Cancelada")*(Escaleta!$C$5:$C$504&lt;$A39+Configuración!$C$7/1440)*(Escaleta!$E$5:$E$504&gt;$A39)*ROW(Escaleta!$A$5:$A$504))))</f>
        <v/>
      </c>
      <c r="M39" s="50">
        <f>IF(OR($A39="",C$6=""),0,SUMPRODUCT(MAX((Escaleta!$A$5:$A$504=$B$4)*(Escaleta!$H$5:$H$504=C$6)*(Escaleta!$K$5:$K$504&lt;&gt;"Cancelada")*(Escaleta!$C$5:$C$504&lt;$A39+Configuración!$C$7/1440)*(Escaleta!$E$5:$E$504&gt;$A39)*ROW(Escaleta!$A$5:$A$504))))</f>
        <v/>
      </c>
      <c r="N39" s="50">
        <f>IF(OR($A39="",D$6=""),0,SUMPRODUCT(MAX((Escaleta!$A$5:$A$504=$B$4)*(Escaleta!$H$5:$H$504=D$6)*(Escaleta!$K$5:$K$504&lt;&gt;"Cancelada")*(Escaleta!$C$5:$C$504&lt;$A39+Configuración!$C$7/1440)*(Escaleta!$E$5:$E$504&gt;$A39)*ROW(Escaleta!$A$5:$A$504))))</f>
        <v/>
      </c>
      <c r="O39" s="50">
        <f>IF(OR($A39="",E$6=""),0,SUMPRODUCT(MAX((Escaleta!$A$5:$A$504=$B$4)*(Escaleta!$H$5:$H$504=E$6)*(Escaleta!$K$5:$K$504&lt;&gt;"Cancelada")*(Escaleta!$C$5:$C$504&lt;$A39+Configuración!$C$7/1440)*(Escaleta!$E$5:$E$504&gt;$A39)*ROW(Escaleta!$A$5:$A$504))))</f>
        <v/>
      </c>
      <c r="P39" s="50">
        <f>IF(OR($A39="",F$6=""),0,SUMPRODUCT(MAX((Escaleta!$A$5:$A$504=$B$4)*(Escaleta!$H$5:$H$504=F$6)*(Escaleta!$K$5:$K$504&lt;&gt;"Cancelada")*(Escaleta!$C$5:$C$504&lt;$A39+Configuración!$C$7/1440)*(Escaleta!$E$5:$E$504&gt;$A39)*ROW(Escaleta!$A$5:$A$504))))</f>
        <v/>
      </c>
      <c r="Q39" s="50">
        <f>IF(OR($A39="",G$6=""),0,SUMPRODUCT(MAX((Escaleta!$A$5:$A$504=$B$4)*(Escaleta!$H$5:$H$504=G$6)*(Escaleta!$K$5:$K$504&lt;&gt;"Cancelada")*(Escaleta!$C$5:$C$504&lt;$A39+Configuración!$C$7/1440)*(Escaleta!$E$5:$E$504&gt;$A39)*ROW(Escaleta!$A$5:$A$504))))</f>
        <v/>
      </c>
      <c r="R39" s="50">
        <f>IF(OR($A39="",H$6=""),0,SUMPRODUCT(MAX((Escaleta!$A$5:$A$504=$B$4)*(Escaleta!$H$5:$H$504=H$6)*(Escaleta!$K$5:$K$504&lt;&gt;"Cancelada")*(Escaleta!$C$5:$C$504&lt;$A39+Configuración!$C$7/1440)*(Escaleta!$E$5:$E$504&gt;$A39)*ROW(Escaleta!$A$5:$A$504))))</f>
        <v/>
      </c>
      <c r="S39" s="50">
        <f>IF(OR($A39="",I$6=""),0,SUMPRODUCT(MAX((Escaleta!$A$5:$A$504=$B$4)*(Escaleta!$H$5:$H$504=I$6)*(Escaleta!$K$5:$K$504&lt;&gt;"Cancelada")*(Escaleta!$C$5:$C$504&lt;$A39+Configuración!$C$7/1440)*(Escaleta!$E$5:$E$504&gt;$A39)*ROW(Escaleta!$A$5:$A$504))))</f>
        <v/>
      </c>
      <c r="U39" s="50">
        <f>IF(L39=0,"",INDEX(Escaleta!$I$1:$I$504,L39))</f>
        <v/>
      </c>
      <c r="V39" s="50">
        <f>IF(M39=0,"",INDEX(Escaleta!$I$1:$I$504,M39))</f>
        <v/>
      </c>
      <c r="W39" s="50">
        <f>IF(N39=0,"",INDEX(Escaleta!$I$1:$I$504,N39))</f>
        <v/>
      </c>
      <c r="X39" s="50">
        <f>IF(O39=0,"",INDEX(Escaleta!$I$1:$I$504,O39))</f>
        <v/>
      </c>
      <c r="Y39" s="50">
        <f>IF(P39=0,"",INDEX(Escaleta!$I$1:$I$504,P39))</f>
        <v/>
      </c>
      <c r="Z39" s="50">
        <f>IF(Q39=0,"",INDEX(Escaleta!$I$1:$I$504,Q39))</f>
        <v/>
      </c>
      <c r="AA39" s="50">
        <f>IF(R39=0,"",INDEX(Escaleta!$I$1:$I$504,R39))</f>
        <v/>
      </c>
      <c r="AB39" s="50">
        <f>IF(S39=0,"",INDEX(Escaleta!$I$1:$I$504,S39))</f>
        <v/>
      </c>
    </row>
    <row r="40" ht="18" customHeight="1">
      <c r="A40" s="48">
        <f>IF(A39="","",IF(A39+Configuración!$C$7/1440&gt;Configuración!$C$6-0.0001,"",A39+Configuración!$C$7/1440))</f>
        <v/>
      </c>
      <c r="B40" s="49">
        <f>IF(L40=0,"",IF(L40&lt;&gt;L39,INDEX(Escaleta!$F$1:$F$504,L40),IF(L40&lt;&gt;L38,TEXT(INDEX(Escaleta!$C$1:$C$504,L40),"hh:mm")&amp;"–"&amp;TEXT(INDEX(Escaleta!$E$1:$E$504,L40),"hh:mm"),"")))</f>
        <v/>
      </c>
      <c r="C40" s="49">
        <f>IF(M40=0,"",IF(M40&lt;&gt;M39,INDEX(Escaleta!$F$1:$F$504,M40),IF(M40&lt;&gt;M38,TEXT(INDEX(Escaleta!$C$1:$C$504,M40),"hh:mm")&amp;"–"&amp;TEXT(INDEX(Escaleta!$E$1:$E$504,M40),"hh:mm"),"")))</f>
        <v/>
      </c>
      <c r="D40" s="49">
        <f>IF(N40=0,"",IF(N40&lt;&gt;N39,INDEX(Escaleta!$F$1:$F$504,N40),IF(N40&lt;&gt;N38,TEXT(INDEX(Escaleta!$C$1:$C$504,N40),"hh:mm")&amp;"–"&amp;TEXT(INDEX(Escaleta!$E$1:$E$504,N40),"hh:mm"),"")))</f>
        <v/>
      </c>
      <c r="E40" s="49">
        <f>IF(O40=0,"",IF(O40&lt;&gt;O39,INDEX(Escaleta!$F$1:$F$504,O40),IF(O40&lt;&gt;O38,TEXT(INDEX(Escaleta!$C$1:$C$504,O40),"hh:mm")&amp;"–"&amp;TEXT(INDEX(Escaleta!$E$1:$E$504,O40),"hh:mm"),"")))</f>
        <v/>
      </c>
      <c r="F40" s="49">
        <f>IF(P40=0,"",IF(P40&lt;&gt;P39,INDEX(Escaleta!$F$1:$F$504,P40),IF(P40&lt;&gt;P38,TEXT(INDEX(Escaleta!$C$1:$C$504,P40),"hh:mm")&amp;"–"&amp;TEXT(INDEX(Escaleta!$E$1:$E$504,P40),"hh:mm"),"")))</f>
        <v/>
      </c>
      <c r="G40" s="49">
        <f>IF(Q40=0,"",IF(Q40&lt;&gt;Q39,INDEX(Escaleta!$F$1:$F$504,Q40),IF(Q40&lt;&gt;Q38,TEXT(INDEX(Escaleta!$C$1:$C$504,Q40),"hh:mm")&amp;"–"&amp;TEXT(INDEX(Escaleta!$E$1:$E$504,Q40),"hh:mm"),"")))</f>
        <v/>
      </c>
      <c r="H40" s="49">
        <f>IF(R40=0,"",IF(R40&lt;&gt;R39,INDEX(Escaleta!$F$1:$F$504,R40),IF(R40&lt;&gt;R38,TEXT(INDEX(Escaleta!$C$1:$C$504,R40),"hh:mm")&amp;"–"&amp;TEXT(INDEX(Escaleta!$E$1:$E$504,R40),"hh:mm"),"")))</f>
        <v/>
      </c>
      <c r="I40" s="49">
        <f>IF(S40=0,"",IF(S40&lt;&gt;S39,INDEX(Escaleta!$F$1:$F$504,S40),IF(S40&lt;&gt;S38,TEXT(INDEX(Escaleta!$C$1:$C$504,S40),"hh:mm")&amp;"–"&amp;TEXT(INDEX(Escaleta!$E$1:$E$504,S40),"hh:mm"),"")))</f>
        <v/>
      </c>
      <c r="L40" s="50">
        <f>IF(OR($A40="",B$6=""),0,SUMPRODUCT(MAX((Escaleta!$A$5:$A$504=$B$4)*(Escaleta!$H$5:$H$504=B$6)*(Escaleta!$K$5:$K$504&lt;&gt;"Cancelada")*(Escaleta!$C$5:$C$504&lt;$A40+Configuración!$C$7/1440)*(Escaleta!$E$5:$E$504&gt;$A40)*ROW(Escaleta!$A$5:$A$504))))</f>
        <v/>
      </c>
      <c r="M40" s="50">
        <f>IF(OR($A40="",C$6=""),0,SUMPRODUCT(MAX((Escaleta!$A$5:$A$504=$B$4)*(Escaleta!$H$5:$H$504=C$6)*(Escaleta!$K$5:$K$504&lt;&gt;"Cancelada")*(Escaleta!$C$5:$C$504&lt;$A40+Configuración!$C$7/1440)*(Escaleta!$E$5:$E$504&gt;$A40)*ROW(Escaleta!$A$5:$A$504))))</f>
        <v/>
      </c>
      <c r="N40" s="50">
        <f>IF(OR($A40="",D$6=""),0,SUMPRODUCT(MAX((Escaleta!$A$5:$A$504=$B$4)*(Escaleta!$H$5:$H$504=D$6)*(Escaleta!$K$5:$K$504&lt;&gt;"Cancelada")*(Escaleta!$C$5:$C$504&lt;$A40+Configuración!$C$7/1440)*(Escaleta!$E$5:$E$504&gt;$A40)*ROW(Escaleta!$A$5:$A$504))))</f>
        <v/>
      </c>
      <c r="O40" s="50">
        <f>IF(OR($A40="",E$6=""),0,SUMPRODUCT(MAX((Escaleta!$A$5:$A$504=$B$4)*(Escaleta!$H$5:$H$504=E$6)*(Escaleta!$K$5:$K$504&lt;&gt;"Cancelada")*(Escaleta!$C$5:$C$504&lt;$A40+Configuración!$C$7/1440)*(Escaleta!$E$5:$E$504&gt;$A40)*ROW(Escaleta!$A$5:$A$504))))</f>
        <v/>
      </c>
      <c r="P40" s="50">
        <f>IF(OR($A40="",F$6=""),0,SUMPRODUCT(MAX((Escaleta!$A$5:$A$504=$B$4)*(Escaleta!$H$5:$H$504=F$6)*(Escaleta!$K$5:$K$504&lt;&gt;"Cancelada")*(Escaleta!$C$5:$C$504&lt;$A40+Configuración!$C$7/1440)*(Escaleta!$E$5:$E$504&gt;$A40)*ROW(Escaleta!$A$5:$A$504))))</f>
        <v/>
      </c>
      <c r="Q40" s="50">
        <f>IF(OR($A40="",G$6=""),0,SUMPRODUCT(MAX((Escaleta!$A$5:$A$504=$B$4)*(Escaleta!$H$5:$H$504=G$6)*(Escaleta!$K$5:$K$504&lt;&gt;"Cancelada")*(Escaleta!$C$5:$C$504&lt;$A40+Configuración!$C$7/1440)*(Escaleta!$E$5:$E$504&gt;$A40)*ROW(Escaleta!$A$5:$A$504))))</f>
        <v/>
      </c>
      <c r="R40" s="50">
        <f>IF(OR($A40="",H$6=""),0,SUMPRODUCT(MAX((Escaleta!$A$5:$A$504=$B$4)*(Escaleta!$H$5:$H$504=H$6)*(Escaleta!$K$5:$K$504&lt;&gt;"Cancelada")*(Escaleta!$C$5:$C$504&lt;$A40+Configuración!$C$7/1440)*(Escaleta!$E$5:$E$504&gt;$A40)*ROW(Escaleta!$A$5:$A$504))))</f>
        <v/>
      </c>
      <c r="S40" s="50">
        <f>IF(OR($A40="",I$6=""),0,SUMPRODUCT(MAX((Escaleta!$A$5:$A$504=$B$4)*(Escaleta!$H$5:$H$504=I$6)*(Escaleta!$K$5:$K$504&lt;&gt;"Cancelada")*(Escaleta!$C$5:$C$504&lt;$A40+Configuración!$C$7/1440)*(Escaleta!$E$5:$E$504&gt;$A40)*ROW(Escaleta!$A$5:$A$504))))</f>
        <v/>
      </c>
      <c r="U40" s="50">
        <f>IF(L40=0,"",INDEX(Escaleta!$I$1:$I$504,L40))</f>
        <v/>
      </c>
      <c r="V40" s="50">
        <f>IF(M40=0,"",INDEX(Escaleta!$I$1:$I$504,M40))</f>
        <v/>
      </c>
      <c r="W40" s="50">
        <f>IF(N40=0,"",INDEX(Escaleta!$I$1:$I$504,N40))</f>
        <v/>
      </c>
      <c r="X40" s="50">
        <f>IF(O40=0,"",INDEX(Escaleta!$I$1:$I$504,O40))</f>
        <v/>
      </c>
      <c r="Y40" s="50">
        <f>IF(P40=0,"",INDEX(Escaleta!$I$1:$I$504,P40))</f>
        <v/>
      </c>
      <c r="Z40" s="50">
        <f>IF(Q40=0,"",INDEX(Escaleta!$I$1:$I$504,Q40))</f>
        <v/>
      </c>
      <c r="AA40" s="50">
        <f>IF(R40=0,"",INDEX(Escaleta!$I$1:$I$504,R40))</f>
        <v/>
      </c>
      <c r="AB40" s="50">
        <f>IF(S40=0,"",INDEX(Escaleta!$I$1:$I$504,S40))</f>
        <v/>
      </c>
    </row>
    <row r="41" ht="18" customHeight="1">
      <c r="A41" s="48">
        <f>IF(A40="","",IF(A40+Configuración!$C$7/1440&gt;Configuración!$C$6-0.0001,"",A40+Configuración!$C$7/1440))</f>
        <v/>
      </c>
      <c r="B41" s="49">
        <f>IF(L41=0,"",IF(L41&lt;&gt;L40,INDEX(Escaleta!$F$1:$F$504,L41),IF(L41&lt;&gt;L39,TEXT(INDEX(Escaleta!$C$1:$C$504,L41),"hh:mm")&amp;"–"&amp;TEXT(INDEX(Escaleta!$E$1:$E$504,L41),"hh:mm"),"")))</f>
        <v/>
      </c>
      <c r="C41" s="49">
        <f>IF(M41=0,"",IF(M41&lt;&gt;M40,INDEX(Escaleta!$F$1:$F$504,M41),IF(M41&lt;&gt;M39,TEXT(INDEX(Escaleta!$C$1:$C$504,M41),"hh:mm")&amp;"–"&amp;TEXT(INDEX(Escaleta!$E$1:$E$504,M41),"hh:mm"),"")))</f>
        <v/>
      </c>
      <c r="D41" s="49">
        <f>IF(N41=0,"",IF(N41&lt;&gt;N40,INDEX(Escaleta!$F$1:$F$504,N41),IF(N41&lt;&gt;N39,TEXT(INDEX(Escaleta!$C$1:$C$504,N41),"hh:mm")&amp;"–"&amp;TEXT(INDEX(Escaleta!$E$1:$E$504,N41),"hh:mm"),"")))</f>
        <v/>
      </c>
      <c r="E41" s="49">
        <f>IF(O41=0,"",IF(O41&lt;&gt;O40,INDEX(Escaleta!$F$1:$F$504,O41),IF(O41&lt;&gt;O39,TEXT(INDEX(Escaleta!$C$1:$C$504,O41),"hh:mm")&amp;"–"&amp;TEXT(INDEX(Escaleta!$E$1:$E$504,O41),"hh:mm"),"")))</f>
        <v/>
      </c>
      <c r="F41" s="49">
        <f>IF(P41=0,"",IF(P41&lt;&gt;P40,INDEX(Escaleta!$F$1:$F$504,P41),IF(P41&lt;&gt;P39,TEXT(INDEX(Escaleta!$C$1:$C$504,P41),"hh:mm")&amp;"–"&amp;TEXT(INDEX(Escaleta!$E$1:$E$504,P41),"hh:mm"),"")))</f>
        <v/>
      </c>
      <c r="G41" s="49">
        <f>IF(Q41=0,"",IF(Q41&lt;&gt;Q40,INDEX(Escaleta!$F$1:$F$504,Q41),IF(Q41&lt;&gt;Q39,TEXT(INDEX(Escaleta!$C$1:$C$504,Q41),"hh:mm")&amp;"–"&amp;TEXT(INDEX(Escaleta!$E$1:$E$504,Q41),"hh:mm"),"")))</f>
        <v/>
      </c>
      <c r="H41" s="49">
        <f>IF(R41=0,"",IF(R41&lt;&gt;R40,INDEX(Escaleta!$F$1:$F$504,R41),IF(R41&lt;&gt;R39,TEXT(INDEX(Escaleta!$C$1:$C$504,R41),"hh:mm")&amp;"–"&amp;TEXT(INDEX(Escaleta!$E$1:$E$504,R41),"hh:mm"),"")))</f>
        <v/>
      </c>
      <c r="I41" s="49">
        <f>IF(S41=0,"",IF(S41&lt;&gt;S40,INDEX(Escaleta!$F$1:$F$504,S41),IF(S41&lt;&gt;S39,TEXT(INDEX(Escaleta!$C$1:$C$504,S41),"hh:mm")&amp;"–"&amp;TEXT(INDEX(Escaleta!$E$1:$E$504,S41),"hh:mm"),"")))</f>
        <v/>
      </c>
      <c r="L41" s="50">
        <f>IF(OR($A41="",B$6=""),0,SUMPRODUCT(MAX((Escaleta!$A$5:$A$504=$B$4)*(Escaleta!$H$5:$H$504=B$6)*(Escaleta!$K$5:$K$504&lt;&gt;"Cancelada")*(Escaleta!$C$5:$C$504&lt;$A41+Configuración!$C$7/1440)*(Escaleta!$E$5:$E$504&gt;$A41)*ROW(Escaleta!$A$5:$A$504))))</f>
        <v/>
      </c>
      <c r="M41" s="50">
        <f>IF(OR($A41="",C$6=""),0,SUMPRODUCT(MAX((Escaleta!$A$5:$A$504=$B$4)*(Escaleta!$H$5:$H$504=C$6)*(Escaleta!$K$5:$K$504&lt;&gt;"Cancelada")*(Escaleta!$C$5:$C$504&lt;$A41+Configuración!$C$7/1440)*(Escaleta!$E$5:$E$504&gt;$A41)*ROW(Escaleta!$A$5:$A$504))))</f>
        <v/>
      </c>
      <c r="N41" s="50">
        <f>IF(OR($A41="",D$6=""),0,SUMPRODUCT(MAX((Escaleta!$A$5:$A$504=$B$4)*(Escaleta!$H$5:$H$504=D$6)*(Escaleta!$K$5:$K$504&lt;&gt;"Cancelada")*(Escaleta!$C$5:$C$504&lt;$A41+Configuración!$C$7/1440)*(Escaleta!$E$5:$E$504&gt;$A41)*ROW(Escaleta!$A$5:$A$504))))</f>
        <v/>
      </c>
      <c r="O41" s="50">
        <f>IF(OR($A41="",E$6=""),0,SUMPRODUCT(MAX((Escaleta!$A$5:$A$504=$B$4)*(Escaleta!$H$5:$H$504=E$6)*(Escaleta!$K$5:$K$504&lt;&gt;"Cancelada")*(Escaleta!$C$5:$C$504&lt;$A41+Configuración!$C$7/1440)*(Escaleta!$E$5:$E$504&gt;$A41)*ROW(Escaleta!$A$5:$A$504))))</f>
        <v/>
      </c>
      <c r="P41" s="50">
        <f>IF(OR($A41="",F$6=""),0,SUMPRODUCT(MAX((Escaleta!$A$5:$A$504=$B$4)*(Escaleta!$H$5:$H$504=F$6)*(Escaleta!$K$5:$K$504&lt;&gt;"Cancelada")*(Escaleta!$C$5:$C$504&lt;$A41+Configuración!$C$7/1440)*(Escaleta!$E$5:$E$504&gt;$A41)*ROW(Escaleta!$A$5:$A$504))))</f>
        <v/>
      </c>
      <c r="Q41" s="50">
        <f>IF(OR($A41="",G$6=""),0,SUMPRODUCT(MAX((Escaleta!$A$5:$A$504=$B$4)*(Escaleta!$H$5:$H$504=G$6)*(Escaleta!$K$5:$K$504&lt;&gt;"Cancelada")*(Escaleta!$C$5:$C$504&lt;$A41+Configuración!$C$7/1440)*(Escaleta!$E$5:$E$504&gt;$A41)*ROW(Escaleta!$A$5:$A$504))))</f>
        <v/>
      </c>
      <c r="R41" s="50">
        <f>IF(OR($A41="",H$6=""),0,SUMPRODUCT(MAX((Escaleta!$A$5:$A$504=$B$4)*(Escaleta!$H$5:$H$504=H$6)*(Escaleta!$K$5:$K$504&lt;&gt;"Cancelada")*(Escaleta!$C$5:$C$504&lt;$A41+Configuración!$C$7/1440)*(Escaleta!$E$5:$E$504&gt;$A41)*ROW(Escaleta!$A$5:$A$504))))</f>
        <v/>
      </c>
      <c r="S41" s="50">
        <f>IF(OR($A41="",I$6=""),0,SUMPRODUCT(MAX((Escaleta!$A$5:$A$504=$B$4)*(Escaleta!$H$5:$H$504=I$6)*(Escaleta!$K$5:$K$504&lt;&gt;"Cancelada")*(Escaleta!$C$5:$C$504&lt;$A41+Configuración!$C$7/1440)*(Escaleta!$E$5:$E$504&gt;$A41)*ROW(Escaleta!$A$5:$A$504))))</f>
        <v/>
      </c>
      <c r="U41" s="50">
        <f>IF(L41=0,"",INDEX(Escaleta!$I$1:$I$504,L41))</f>
        <v/>
      </c>
      <c r="V41" s="50">
        <f>IF(M41=0,"",INDEX(Escaleta!$I$1:$I$504,M41))</f>
        <v/>
      </c>
      <c r="W41" s="50">
        <f>IF(N41=0,"",INDEX(Escaleta!$I$1:$I$504,N41))</f>
        <v/>
      </c>
      <c r="X41" s="50">
        <f>IF(O41=0,"",INDEX(Escaleta!$I$1:$I$504,O41))</f>
        <v/>
      </c>
      <c r="Y41" s="50">
        <f>IF(P41=0,"",INDEX(Escaleta!$I$1:$I$504,P41))</f>
        <v/>
      </c>
      <c r="Z41" s="50">
        <f>IF(Q41=0,"",INDEX(Escaleta!$I$1:$I$504,Q41))</f>
        <v/>
      </c>
      <c r="AA41" s="50">
        <f>IF(R41=0,"",INDEX(Escaleta!$I$1:$I$504,R41))</f>
        <v/>
      </c>
      <c r="AB41" s="50">
        <f>IF(S41=0,"",INDEX(Escaleta!$I$1:$I$504,S41))</f>
        <v/>
      </c>
    </row>
    <row r="42" ht="18" customHeight="1">
      <c r="A42" s="48">
        <f>IF(A41="","",IF(A41+Configuración!$C$7/1440&gt;Configuración!$C$6-0.0001,"",A41+Configuración!$C$7/1440))</f>
        <v/>
      </c>
      <c r="B42" s="49">
        <f>IF(L42=0,"",IF(L42&lt;&gt;L41,INDEX(Escaleta!$F$1:$F$504,L42),IF(L42&lt;&gt;L40,TEXT(INDEX(Escaleta!$C$1:$C$504,L42),"hh:mm")&amp;"–"&amp;TEXT(INDEX(Escaleta!$E$1:$E$504,L42),"hh:mm"),"")))</f>
        <v/>
      </c>
      <c r="C42" s="49">
        <f>IF(M42=0,"",IF(M42&lt;&gt;M41,INDEX(Escaleta!$F$1:$F$504,M42),IF(M42&lt;&gt;M40,TEXT(INDEX(Escaleta!$C$1:$C$504,M42),"hh:mm")&amp;"–"&amp;TEXT(INDEX(Escaleta!$E$1:$E$504,M42),"hh:mm"),"")))</f>
        <v/>
      </c>
      <c r="D42" s="49">
        <f>IF(N42=0,"",IF(N42&lt;&gt;N41,INDEX(Escaleta!$F$1:$F$504,N42),IF(N42&lt;&gt;N40,TEXT(INDEX(Escaleta!$C$1:$C$504,N42),"hh:mm")&amp;"–"&amp;TEXT(INDEX(Escaleta!$E$1:$E$504,N42),"hh:mm"),"")))</f>
        <v/>
      </c>
      <c r="E42" s="49">
        <f>IF(O42=0,"",IF(O42&lt;&gt;O41,INDEX(Escaleta!$F$1:$F$504,O42),IF(O42&lt;&gt;O40,TEXT(INDEX(Escaleta!$C$1:$C$504,O42),"hh:mm")&amp;"–"&amp;TEXT(INDEX(Escaleta!$E$1:$E$504,O42),"hh:mm"),"")))</f>
        <v/>
      </c>
      <c r="F42" s="49">
        <f>IF(P42=0,"",IF(P42&lt;&gt;P41,INDEX(Escaleta!$F$1:$F$504,P42),IF(P42&lt;&gt;P40,TEXT(INDEX(Escaleta!$C$1:$C$504,P42),"hh:mm")&amp;"–"&amp;TEXT(INDEX(Escaleta!$E$1:$E$504,P42),"hh:mm"),"")))</f>
        <v/>
      </c>
      <c r="G42" s="49">
        <f>IF(Q42=0,"",IF(Q42&lt;&gt;Q41,INDEX(Escaleta!$F$1:$F$504,Q42),IF(Q42&lt;&gt;Q40,TEXT(INDEX(Escaleta!$C$1:$C$504,Q42),"hh:mm")&amp;"–"&amp;TEXT(INDEX(Escaleta!$E$1:$E$504,Q42),"hh:mm"),"")))</f>
        <v/>
      </c>
      <c r="H42" s="49">
        <f>IF(R42=0,"",IF(R42&lt;&gt;R41,INDEX(Escaleta!$F$1:$F$504,R42),IF(R42&lt;&gt;R40,TEXT(INDEX(Escaleta!$C$1:$C$504,R42),"hh:mm")&amp;"–"&amp;TEXT(INDEX(Escaleta!$E$1:$E$504,R42),"hh:mm"),"")))</f>
        <v/>
      </c>
      <c r="I42" s="49">
        <f>IF(S42=0,"",IF(S42&lt;&gt;S41,INDEX(Escaleta!$F$1:$F$504,S42),IF(S42&lt;&gt;S40,TEXT(INDEX(Escaleta!$C$1:$C$504,S42),"hh:mm")&amp;"–"&amp;TEXT(INDEX(Escaleta!$E$1:$E$504,S42),"hh:mm"),"")))</f>
        <v/>
      </c>
      <c r="L42" s="50">
        <f>IF(OR($A42="",B$6=""),0,SUMPRODUCT(MAX((Escaleta!$A$5:$A$504=$B$4)*(Escaleta!$H$5:$H$504=B$6)*(Escaleta!$K$5:$K$504&lt;&gt;"Cancelada")*(Escaleta!$C$5:$C$504&lt;$A42+Configuración!$C$7/1440)*(Escaleta!$E$5:$E$504&gt;$A42)*ROW(Escaleta!$A$5:$A$504))))</f>
        <v/>
      </c>
      <c r="M42" s="50">
        <f>IF(OR($A42="",C$6=""),0,SUMPRODUCT(MAX((Escaleta!$A$5:$A$504=$B$4)*(Escaleta!$H$5:$H$504=C$6)*(Escaleta!$K$5:$K$504&lt;&gt;"Cancelada")*(Escaleta!$C$5:$C$504&lt;$A42+Configuración!$C$7/1440)*(Escaleta!$E$5:$E$504&gt;$A42)*ROW(Escaleta!$A$5:$A$504))))</f>
        <v/>
      </c>
      <c r="N42" s="50">
        <f>IF(OR($A42="",D$6=""),0,SUMPRODUCT(MAX((Escaleta!$A$5:$A$504=$B$4)*(Escaleta!$H$5:$H$504=D$6)*(Escaleta!$K$5:$K$504&lt;&gt;"Cancelada")*(Escaleta!$C$5:$C$504&lt;$A42+Configuración!$C$7/1440)*(Escaleta!$E$5:$E$504&gt;$A42)*ROW(Escaleta!$A$5:$A$504))))</f>
        <v/>
      </c>
      <c r="O42" s="50">
        <f>IF(OR($A42="",E$6=""),0,SUMPRODUCT(MAX((Escaleta!$A$5:$A$504=$B$4)*(Escaleta!$H$5:$H$504=E$6)*(Escaleta!$K$5:$K$504&lt;&gt;"Cancelada")*(Escaleta!$C$5:$C$504&lt;$A42+Configuración!$C$7/1440)*(Escaleta!$E$5:$E$504&gt;$A42)*ROW(Escaleta!$A$5:$A$504))))</f>
        <v/>
      </c>
      <c r="P42" s="50">
        <f>IF(OR($A42="",F$6=""),0,SUMPRODUCT(MAX((Escaleta!$A$5:$A$504=$B$4)*(Escaleta!$H$5:$H$504=F$6)*(Escaleta!$K$5:$K$504&lt;&gt;"Cancelada")*(Escaleta!$C$5:$C$504&lt;$A42+Configuración!$C$7/1440)*(Escaleta!$E$5:$E$504&gt;$A42)*ROW(Escaleta!$A$5:$A$504))))</f>
        <v/>
      </c>
      <c r="Q42" s="50">
        <f>IF(OR($A42="",G$6=""),0,SUMPRODUCT(MAX((Escaleta!$A$5:$A$504=$B$4)*(Escaleta!$H$5:$H$504=G$6)*(Escaleta!$K$5:$K$504&lt;&gt;"Cancelada")*(Escaleta!$C$5:$C$504&lt;$A42+Configuración!$C$7/1440)*(Escaleta!$E$5:$E$504&gt;$A42)*ROW(Escaleta!$A$5:$A$504))))</f>
        <v/>
      </c>
      <c r="R42" s="50">
        <f>IF(OR($A42="",H$6=""),0,SUMPRODUCT(MAX((Escaleta!$A$5:$A$504=$B$4)*(Escaleta!$H$5:$H$504=H$6)*(Escaleta!$K$5:$K$504&lt;&gt;"Cancelada")*(Escaleta!$C$5:$C$504&lt;$A42+Configuración!$C$7/1440)*(Escaleta!$E$5:$E$504&gt;$A42)*ROW(Escaleta!$A$5:$A$504))))</f>
        <v/>
      </c>
      <c r="S42" s="50">
        <f>IF(OR($A42="",I$6=""),0,SUMPRODUCT(MAX((Escaleta!$A$5:$A$504=$B$4)*(Escaleta!$H$5:$H$504=I$6)*(Escaleta!$K$5:$K$504&lt;&gt;"Cancelada")*(Escaleta!$C$5:$C$504&lt;$A42+Configuración!$C$7/1440)*(Escaleta!$E$5:$E$504&gt;$A42)*ROW(Escaleta!$A$5:$A$504))))</f>
        <v/>
      </c>
      <c r="U42" s="50">
        <f>IF(L42=0,"",INDEX(Escaleta!$I$1:$I$504,L42))</f>
        <v/>
      </c>
      <c r="V42" s="50">
        <f>IF(M42=0,"",INDEX(Escaleta!$I$1:$I$504,M42))</f>
        <v/>
      </c>
      <c r="W42" s="50">
        <f>IF(N42=0,"",INDEX(Escaleta!$I$1:$I$504,N42))</f>
        <v/>
      </c>
      <c r="X42" s="50">
        <f>IF(O42=0,"",INDEX(Escaleta!$I$1:$I$504,O42))</f>
        <v/>
      </c>
      <c r="Y42" s="50">
        <f>IF(P42=0,"",INDEX(Escaleta!$I$1:$I$504,P42))</f>
        <v/>
      </c>
      <c r="Z42" s="50">
        <f>IF(Q42=0,"",INDEX(Escaleta!$I$1:$I$504,Q42))</f>
        <v/>
      </c>
      <c r="AA42" s="50">
        <f>IF(R42=0,"",INDEX(Escaleta!$I$1:$I$504,R42))</f>
        <v/>
      </c>
      <c r="AB42" s="50">
        <f>IF(S42=0,"",INDEX(Escaleta!$I$1:$I$504,S42))</f>
        <v/>
      </c>
    </row>
    <row r="43" ht="18" customHeight="1">
      <c r="A43" s="48">
        <f>IF(A42="","",IF(A42+Configuración!$C$7/1440&gt;Configuración!$C$6-0.0001,"",A42+Configuración!$C$7/1440))</f>
        <v/>
      </c>
      <c r="B43" s="49">
        <f>IF(L43=0,"",IF(L43&lt;&gt;L42,INDEX(Escaleta!$F$1:$F$504,L43),IF(L43&lt;&gt;L41,TEXT(INDEX(Escaleta!$C$1:$C$504,L43),"hh:mm")&amp;"–"&amp;TEXT(INDEX(Escaleta!$E$1:$E$504,L43),"hh:mm"),"")))</f>
        <v/>
      </c>
      <c r="C43" s="49">
        <f>IF(M43=0,"",IF(M43&lt;&gt;M42,INDEX(Escaleta!$F$1:$F$504,M43),IF(M43&lt;&gt;M41,TEXT(INDEX(Escaleta!$C$1:$C$504,M43),"hh:mm")&amp;"–"&amp;TEXT(INDEX(Escaleta!$E$1:$E$504,M43),"hh:mm"),"")))</f>
        <v/>
      </c>
      <c r="D43" s="49">
        <f>IF(N43=0,"",IF(N43&lt;&gt;N42,INDEX(Escaleta!$F$1:$F$504,N43),IF(N43&lt;&gt;N41,TEXT(INDEX(Escaleta!$C$1:$C$504,N43),"hh:mm")&amp;"–"&amp;TEXT(INDEX(Escaleta!$E$1:$E$504,N43),"hh:mm"),"")))</f>
        <v/>
      </c>
      <c r="E43" s="49">
        <f>IF(O43=0,"",IF(O43&lt;&gt;O42,INDEX(Escaleta!$F$1:$F$504,O43),IF(O43&lt;&gt;O41,TEXT(INDEX(Escaleta!$C$1:$C$504,O43),"hh:mm")&amp;"–"&amp;TEXT(INDEX(Escaleta!$E$1:$E$504,O43),"hh:mm"),"")))</f>
        <v/>
      </c>
      <c r="F43" s="49">
        <f>IF(P43=0,"",IF(P43&lt;&gt;P42,INDEX(Escaleta!$F$1:$F$504,P43),IF(P43&lt;&gt;P41,TEXT(INDEX(Escaleta!$C$1:$C$504,P43),"hh:mm")&amp;"–"&amp;TEXT(INDEX(Escaleta!$E$1:$E$504,P43),"hh:mm"),"")))</f>
        <v/>
      </c>
      <c r="G43" s="49">
        <f>IF(Q43=0,"",IF(Q43&lt;&gt;Q42,INDEX(Escaleta!$F$1:$F$504,Q43),IF(Q43&lt;&gt;Q41,TEXT(INDEX(Escaleta!$C$1:$C$504,Q43),"hh:mm")&amp;"–"&amp;TEXT(INDEX(Escaleta!$E$1:$E$504,Q43),"hh:mm"),"")))</f>
        <v/>
      </c>
      <c r="H43" s="49">
        <f>IF(R43=0,"",IF(R43&lt;&gt;R42,INDEX(Escaleta!$F$1:$F$504,R43),IF(R43&lt;&gt;R41,TEXT(INDEX(Escaleta!$C$1:$C$504,R43),"hh:mm")&amp;"–"&amp;TEXT(INDEX(Escaleta!$E$1:$E$504,R43),"hh:mm"),"")))</f>
        <v/>
      </c>
      <c r="I43" s="49">
        <f>IF(S43=0,"",IF(S43&lt;&gt;S42,INDEX(Escaleta!$F$1:$F$504,S43),IF(S43&lt;&gt;S41,TEXT(INDEX(Escaleta!$C$1:$C$504,S43),"hh:mm")&amp;"–"&amp;TEXT(INDEX(Escaleta!$E$1:$E$504,S43),"hh:mm"),"")))</f>
        <v/>
      </c>
      <c r="L43" s="50">
        <f>IF(OR($A43="",B$6=""),0,SUMPRODUCT(MAX((Escaleta!$A$5:$A$504=$B$4)*(Escaleta!$H$5:$H$504=B$6)*(Escaleta!$K$5:$K$504&lt;&gt;"Cancelada")*(Escaleta!$C$5:$C$504&lt;$A43+Configuración!$C$7/1440)*(Escaleta!$E$5:$E$504&gt;$A43)*ROW(Escaleta!$A$5:$A$504))))</f>
        <v/>
      </c>
      <c r="M43" s="50">
        <f>IF(OR($A43="",C$6=""),0,SUMPRODUCT(MAX((Escaleta!$A$5:$A$504=$B$4)*(Escaleta!$H$5:$H$504=C$6)*(Escaleta!$K$5:$K$504&lt;&gt;"Cancelada")*(Escaleta!$C$5:$C$504&lt;$A43+Configuración!$C$7/1440)*(Escaleta!$E$5:$E$504&gt;$A43)*ROW(Escaleta!$A$5:$A$504))))</f>
        <v/>
      </c>
      <c r="N43" s="50">
        <f>IF(OR($A43="",D$6=""),0,SUMPRODUCT(MAX((Escaleta!$A$5:$A$504=$B$4)*(Escaleta!$H$5:$H$504=D$6)*(Escaleta!$K$5:$K$504&lt;&gt;"Cancelada")*(Escaleta!$C$5:$C$504&lt;$A43+Configuración!$C$7/1440)*(Escaleta!$E$5:$E$504&gt;$A43)*ROW(Escaleta!$A$5:$A$504))))</f>
        <v/>
      </c>
      <c r="O43" s="50">
        <f>IF(OR($A43="",E$6=""),0,SUMPRODUCT(MAX((Escaleta!$A$5:$A$504=$B$4)*(Escaleta!$H$5:$H$504=E$6)*(Escaleta!$K$5:$K$504&lt;&gt;"Cancelada")*(Escaleta!$C$5:$C$504&lt;$A43+Configuración!$C$7/1440)*(Escaleta!$E$5:$E$504&gt;$A43)*ROW(Escaleta!$A$5:$A$504))))</f>
        <v/>
      </c>
      <c r="P43" s="50">
        <f>IF(OR($A43="",F$6=""),0,SUMPRODUCT(MAX((Escaleta!$A$5:$A$504=$B$4)*(Escaleta!$H$5:$H$504=F$6)*(Escaleta!$K$5:$K$504&lt;&gt;"Cancelada")*(Escaleta!$C$5:$C$504&lt;$A43+Configuración!$C$7/1440)*(Escaleta!$E$5:$E$504&gt;$A43)*ROW(Escaleta!$A$5:$A$504))))</f>
        <v/>
      </c>
      <c r="Q43" s="50">
        <f>IF(OR($A43="",G$6=""),0,SUMPRODUCT(MAX((Escaleta!$A$5:$A$504=$B$4)*(Escaleta!$H$5:$H$504=G$6)*(Escaleta!$K$5:$K$504&lt;&gt;"Cancelada")*(Escaleta!$C$5:$C$504&lt;$A43+Configuración!$C$7/1440)*(Escaleta!$E$5:$E$504&gt;$A43)*ROW(Escaleta!$A$5:$A$504))))</f>
        <v/>
      </c>
      <c r="R43" s="50">
        <f>IF(OR($A43="",H$6=""),0,SUMPRODUCT(MAX((Escaleta!$A$5:$A$504=$B$4)*(Escaleta!$H$5:$H$504=H$6)*(Escaleta!$K$5:$K$504&lt;&gt;"Cancelada")*(Escaleta!$C$5:$C$504&lt;$A43+Configuración!$C$7/1440)*(Escaleta!$E$5:$E$504&gt;$A43)*ROW(Escaleta!$A$5:$A$504))))</f>
        <v/>
      </c>
      <c r="S43" s="50">
        <f>IF(OR($A43="",I$6=""),0,SUMPRODUCT(MAX((Escaleta!$A$5:$A$504=$B$4)*(Escaleta!$H$5:$H$504=I$6)*(Escaleta!$K$5:$K$504&lt;&gt;"Cancelada")*(Escaleta!$C$5:$C$504&lt;$A43+Configuración!$C$7/1440)*(Escaleta!$E$5:$E$504&gt;$A43)*ROW(Escaleta!$A$5:$A$504))))</f>
        <v/>
      </c>
      <c r="U43" s="50">
        <f>IF(L43=0,"",INDEX(Escaleta!$I$1:$I$504,L43))</f>
        <v/>
      </c>
      <c r="V43" s="50">
        <f>IF(M43=0,"",INDEX(Escaleta!$I$1:$I$504,M43))</f>
        <v/>
      </c>
      <c r="W43" s="50">
        <f>IF(N43=0,"",INDEX(Escaleta!$I$1:$I$504,N43))</f>
        <v/>
      </c>
      <c r="X43" s="50">
        <f>IF(O43=0,"",INDEX(Escaleta!$I$1:$I$504,O43))</f>
        <v/>
      </c>
      <c r="Y43" s="50">
        <f>IF(P43=0,"",INDEX(Escaleta!$I$1:$I$504,P43))</f>
        <v/>
      </c>
      <c r="Z43" s="50">
        <f>IF(Q43=0,"",INDEX(Escaleta!$I$1:$I$504,Q43))</f>
        <v/>
      </c>
      <c r="AA43" s="50">
        <f>IF(R43=0,"",INDEX(Escaleta!$I$1:$I$504,R43))</f>
        <v/>
      </c>
      <c r="AB43" s="50">
        <f>IF(S43=0,"",INDEX(Escaleta!$I$1:$I$504,S43))</f>
        <v/>
      </c>
    </row>
    <row r="44" ht="18" customHeight="1">
      <c r="A44" s="48">
        <f>IF(A43="","",IF(A43+Configuración!$C$7/1440&gt;Configuración!$C$6-0.0001,"",A43+Configuración!$C$7/1440))</f>
        <v/>
      </c>
      <c r="B44" s="49">
        <f>IF(L44=0,"",IF(L44&lt;&gt;L43,INDEX(Escaleta!$F$1:$F$504,L44),IF(L44&lt;&gt;L42,TEXT(INDEX(Escaleta!$C$1:$C$504,L44),"hh:mm")&amp;"–"&amp;TEXT(INDEX(Escaleta!$E$1:$E$504,L44),"hh:mm"),"")))</f>
        <v/>
      </c>
      <c r="C44" s="49">
        <f>IF(M44=0,"",IF(M44&lt;&gt;M43,INDEX(Escaleta!$F$1:$F$504,M44),IF(M44&lt;&gt;M42,TEXT(INDEX(Escaleta!$C$1:$C$504,M44),"hh:mm")&amp;"–"&amp;TEXT(INDEX(Escaleta!$E$1:$E$504,M44),"hh:mm"),"")))</f>
        <v/>
      </c>
      <c r="D44" s="49">
        <f>IF(N44=0,"",IF(N44&lt;&gt;N43,INDEX(Escaleta!$F$1:$F$504,N44),IF(N44&lt;&gt;N42,TEXT(INDEX(Escaleta!$C$1:$C$504,N44),"hh:mm")&amp;"–"&amp;TEXT(INDEX(Escaleta!$E$1:$E$504,N44),"hh:mm"),"")))</f>
        <v/>
      </c>
      <c r="E44" s="49">
        <f>IF(O44=0,"",IF(O44&lt;&gt;O43,INDEX(Escaleta!$F$1:$F$504,O44),IF(O44&lt;&gt;O42,TEXT(INDEX(Escaleta!$C$1:$C$504,O44),"hh:mm")&amp;"–"&amp;TEXT(INDEX(Escaleta!$E$1:$E$504,O44),"hh:mm"),"")))</f>
        <v/>
      </c>
      <c r="F44" s="49">
        <f>IF(P44=0,"",IF(P44&lt;&gt;P43,INDEX(Escaleta!$F$1:$F$504,P44),IF(P44&lt;&gt;P42,TEXT(INDEX(Escaleta!$C$1:$C$504,P44),"hh:mm")&amp;"–"&amp;TEXT(INDEX(Escaleta!$E$1:$E$504,P44),"hh:mm"),"")))</f>
        <v/>
      </c>
      <c r="G44" s="49">
        <f>IF(Q44=0,"",IF(Q44&lt;&gt;Q43,INDEX(Escaleta!$F$1:$F$504,Q44),IF(Q44&lt;&gt;Q42,TEXT(INDEX(Escaleta!$C$1:$C$504,Q44),"hh:mm")&amp;"–"&amp;TEXT(INDEX(Escaleta!$E$1:$E$504,Q44),"hh:mm"),"")))</f>
        <v/>
      </c>
      <c r="H44" s="49">
        <f>IF(R44=0,"",IF(R44&lt;&gt;R43,INDEX(Escaleta!$F$1:$F$504,R44),IF(R44&lt;&gt;R42,TEXT(INDEX(Escaleta!$C$1:$C$504,R44),"hh:mm")&amp;"–"&amp;TEXT(INDEX(Escaleta!$E$1:$E$504,R44),"hh:mm"),"")))</f>
        <v/>
      </c>
      <c r="I44" s="49">
        <f>IF(S44=0,"",IF(S44&lt;&gt;S43,INDEX(Escaleta!$F$1:$F$504,S44),IF(S44&lt;&gt;S42,TEXT(INDEX(Escaleta!$C$1:$C$504,S44),"hh:mm")&amp;"–"&amp;TEXT(INDEX(Escaleta!$E$1:$E$504,S44),"hh:mm"),"")))</f>
        <v/>
      </c>
      <c r="L44" s="50">
        <f>IF(OR($A44="",B$6=""),0,SUMPRODUCT(MAX((Escaleta!$A$5:$A$504=$B$4)*(Escaleta!$H$5:$H$504=B$6)*(Escaleta!$K$5:$K$504&lt;&gt;"Cancelada")*(Escaleta!$C$5:$C$504&lt;$A44+Configuración!$C$7/1440)*(Escaleta!$E$5:$E$504&gt;$A44)*ROW(Escaleta!$A$5:$A$504))))</f>
        <v/>
      </c>
      <c r="M44" s="50">
        <f>IF(OR($A44="",C$6=""),0,SUMPRODUCT(MAX((Escaleta!$A$5:$A$504=$B$4)*(Escaleta!$H$5:$H$504=C$6)*(Escaleta!$K$5:$K$504&lt;&gt;"Cancelada")*(Escaleta!$C$5:$C$504&lt;$A44+Configuración!$C$7/1440)*(Escaleta!$E$5:$E$504&gt;$A44)*ROW(Escaleta!$A$5:$A$504))))</f>
        <v/>
      </c>
      <c r="N44" s="50">
        <f>IF(OR($A44="",D$6=""),0,SUMPRODUCT(MAX((Escaleta!$A$5:$A$504=$B$4)*(Escaleta!$H$5:$H$504=D$6)*(Escaleta!$K$5:$K$504&lt;&gt;"Cancelada")*(Escaleta!$C$5:$C$504&lt;$A44+Configuración!$C$7/1440)*(Escaleta!$E$5:$E$504&gt;$A44)*ROW(Escaleta!$A$5:$A$504))))</f>
        <v/>
      </c>
      <c r="O44" s="50">
        <f>IF(OR($A44="",E$6=""),0,SUMPRODUCT(MAX((Escaleta!$A$5:$A$504=$B$4)*(Escaleta!$H$5:$H$504=E$6)*(Escaleta!$K$5:$K$504&lt;&gt;"Cancelada")*(Escaleta!$C$5:$C$504&lt;$A44+Configuración!$C$7/1440)*(Escaleta!$E$5:$E$504&gt;$A44)*ROW(Escaleta!$A$5:$A$504))))</f>
        <v/>
      </c>
      <c r="P44" s="50">
        <f>IF(OR($A44="",F$6=""),0,SUMPRODUCT(MAX((Escaleta!$A$5:$A$504=$B$4)*(Escaleta!$H$5:$H$504=F$6)*(Escaleta!$K$5:$K$504&lt;&gt;"Cancelada")*(Escaleta!$C$5:$C$504&lt;$A44+Configuración!$C$7/1440)*(Escaleta!$E$5:$E$504&gt;$A44)*ROW(Escaleta!$A$5:$A$504))))</f>
        <v/>
      </c>
      <c r="Q44" s="50">
        <f>IF(OR($A44="",G$6=""),0,SUMPRODUCT(MAX((Escaleta!$A$5:$A$504=$B$4)*(Escaleta!$H$5:$H$504=G$6)*(Escaleta!$K$5:$K$504&lt;&gt;"Cancelada")*(Escaleta!$C$5:$C$504&lt;$A44+Configuración!$C$7/1440)*(Escaleta!$E$5:$E$504&gt;$A44)*ROW(Escaleta!$A$5:$A$504))))</f>
        <v/>
      </c>
      <c r="R44" s="50">
        <f>IF(OR($A44="",H$6=""),0,SUMPRODUCT(MAX((Escaleta!$A$5:$A$504=$B$4)*(Escaleta!$H$5:$H$504=H$6)*(Escaleta!$K$5:$K$504&lt;&gt;"Cancelada")*(Escaleta!$C$5:$C$504&lt;$A44+Configuración!$C$7/1440)*(Escaleta!$E$5:$E$504&gt;$A44)*ROW(Escaleta!$A$5:$A$504))))</f>
        <v/>
      </c>
      <c r="S44" s="50">
        <f>IF(OR($A44="",I$6=""),0,SUMPRODUCT(MAX((Escaleta!$A$5:$A$504=$B$4)*(Escaleta!$H$5:$H$504=I$6)*(Escaleta!$K$5:$K$504&lt;&gt;"Cancelada")*(Escaleta!$C$5:$C$504&lt;$A44+Configuración!$C$7/1440)*(Escaleta!$E$5:$E$504&gt;$A44)*ROW(Escaleta!$A$5:$A$504))))</f>
        <v/>
      </c>
      <c r="U44" s="50">
        <f>IF(L44=0,"",INDEX(Escaleta!$I$1:$I$504,L44))</f>
        <v/>
      </c>
      <c r="V44" s="50">
        <f>IF(M44=0,"",INDEX(Escaleta!$I$1:$I$504,M44))</f>
        <v/>
      </c>
      <c r="W44" s="50">
        <f>IF(N44=0,"",INDEX(Escaleta!$I$1:$I$504,N44))</f>
        <v/>
      </c>
      <c r="X44" s="50">
        <f>IF(O44=0,"",INDEX(Escaleta!$I$1:$I$504,O44))</f>
        <v/>
      </c>
      <c r="Y44" s="50">
        <f>IF(P44=0,"",INDEX(Escaleta!$I$1:$I$504,P44))</f>
        <v/>
      </c>
      <c r="Z44" s="50">
        <f>IF(Q44=0,"",INDEX(Escaleta!$I$1:$I$504,Q44))</f>
        <v/>
      </c>
      <c r="AA44" s="50">
        <f>IF(R44=0,"",INDEX(Escaleta!$I$1:$I$504,R44))</f>
        <v/>
      </c>
      <c r="AB44" s="50">
        <f>IF(S44=0,"",INDEX(Escaleta!$I$1:$I$504,S44))</f>
        <v/>
      </c>
    </row>
    <row r="45" ht="18" customHeight="1">
      <c r="A45" s="48">
        <f>IF(A44="","",IF(A44+Configuración!$C$7/1440&gt;Configuración!$C$6-0.0001,"",A44+Configuración!$C$7/1440))</f>
        <v/>
      </c>
      <c r="B45" s="49">
        <f>IF(L45=0,"",IF(L45&lt;&gt;L44,INDEX(Escaleta!$F$1:$F$504,L45),IF(L45&lt;&gt;L43,TEXT(INDEX(Escaleta!$C$1:$C$504,L45),"hh:mm")&amp;"–"&amp;TEXT(INDEX(Escaleta!$E$1:$E$504,L45),"hh:mm"),"")))</f>
        <v/>
      </c>
      <c r="C45" s="49">
        <f>IF(M45=0,"",IF(M45&lt;&gt;M44,INDEX(Escaleta!$F$1:$F$504,M45),IF(M45&lt;&gt;M43,TEXT(INDEX(Escaleta!$C$1:$C$504,M45),"hh:mm")&amp;"–"&amp;TEXT(INDEX(Escaleta!$E$1:$E$504,M45),"hh:mm"),"")))</f>
        <v/>
      </c>
      <c r="D45" s="49">
        <f>IF(N45=0,"",IF(N45&lt;&gt;N44,INDEX(Escaleta!$F$1:$F$504,N45),IF(N45&lt;&gt;N43,TEXT(INDEX(Escaleta!$C$1:$C$504,N45),"hh:mm")&amp;"–"&amp;TEXT(INDEX(Escaleta!$E$1:$E$504,N45),"hh:mm"),"")))</f>
        <v/>
      </c>
      <c r="E45" s="49">
        <f>IF(O45=0,"",IF(O45&lt;&gt;O44,INDEX(Escaleta!$F$1:$F$504,O45),IF(O45&lt;&gt;O43,TEXT(INDEX(Escaleta!$C$1:$C$504,O45),"hh:mm")&amp;"–"&amp;TEXT(INDEX(Escaleta!$E$1:$E$504,O45),"hh:mm"),"")))</f>
        <v/>
      </c>
      <c r="F45" s="49">
        <f>IF(P45=0,"",IF(P45&lt;&gt;P44,INDEX(Escaleta!$F$1:$F$504,P45),IF(P45&lt;&gt;P43,TEXT(INDEX(Escaleta!$C$1:$C$504,P45),"hh:mm")&amp;"–"&amp;TEXT(INDEX(Escaleta!$E$1:$E$504,P45),"hh:mm"),"")))</f>
        <v/>
      </c>
      <c r="G45" s="49">
        <f>IF(Q45=0,"",IF(Q45&lt;&gt;Q44,INDEX(Escaleta!$F$1:$F$504,Q45),IF(Q45&lt;&gt;Q43,TEXT(INDEX(Escaleta!$C$1:$C$504,Q45),"hh:mm")&amp;"–"&amp;TEXT(INDEX(Escaleta!$E$1:$E$504,Q45),"hh:mm"),"")))</f>
        <v/>
      </c>
      <c r="H45" s="49">
        <f>IF(R45=0,"",IF(R45&lt;&gt;R44,INDEX(Escaleta!$F$1:$F$504,R45),IF(R45&lt;&gt;R43,TEXT(INDEX(Escaleta!$C$1:$C$504,R45),"hh:mm")&amp;"–"&amp;TEXT(INDEX(Escaleta!$E$1:$E$504,R45),"hh:mm"),"")))</f>
        <v/>
      </c>
      <c r="I45" s="49">
        <f>IF(S45=0,"",IF(S45&lt;&gt;S44,INDEX(Escaleta!$F$1:$F$504,S45),IF(S45&lt;&gt;S43,TEXT(INDEX(Escaleta!$C$1:$C$504,S45),"hh:mm")&amp;"–"&amp;TEXT(INDEX(Escaleta!$E$1:$E$504,S45),"hh:mm"),"")))</f>
        <v/>
      </c>
      <c r="L45" s="50">
        <f>IF(OR($A45="",B$6=""),0,SUMPRODUCT(MAX((Escaleta!$A$5:$A$504=$B$4)*(Escaleta!$H$5:$H$504=B$6)*(Escaleta!$K$5:$K$504&lt;&gt;"Cancelada")*(Escaleta!$C$5:$C$504&lt;$A45+Configuración!$C$7/1440)*(Escaleta!$E$5:$E$504&gt;$A45)*ROW(Escaleta!$A$5:$A$504))))</f>
        <v/>
      </c>
      <c r="M45" s="50">
        <f>IF(OR($A45="",C$6=""),0,SUMPRODUCT(MAX((Escaleta!$A$5:$A$504=$B$4)*(Escaleta!$H$5:$H$504=C$6)*(Escaleta!$K$5:$K$504&lt;&gt;"Cancelada")*(Escaleta!$C$5:$C$504&lt;$A45+Configuración!$C$7/1440)*(Escaleta!$E$5:$E$504&gt;$A45)*ROW(Escaleta!$A$5:$A$504))))</f>
        <v/>
      </c>
      <c r="N45" s="50">
        <f>IF(OR($A45="",D$6=""),0,SUMPRODUCT(MAX((Escaleta!$A$5:$A$504=$B$4)*(Escaleta!$H$5:$H$504=D$6)*(Escaleta!$K$5:$K$504&lt;&gt;"Cancelada")*(Escaleta!$C$5:$C$504&lt;$A45+Configuración!$C$7/1440)*(Escaleta!$E$5:$E$504&gt;$A45)*ROW(Escaleta!$A$5:$A$504))))</f>
        <v/>
      </c>
      <c r="O45" s="50">
        <f>IF(OR($A45="",E$6=""),0,SUMPRODUCT(MAX((Escaleta!$A$5:$A$504=$B$4)*(Escaleta!$H$5:$H$504=E$6)*(Escaleta!$K$5:$K$504&lt;&gt;"Cancelada")*(Escaleta!$C$5:$C$504&lt;$A45+Configuración!$C$7/1440)*(Escaleta!$E$5:$E$504&gt;$A45)*ROW(Escaleta!$A$5:$A$504))))</f>
        <v/>
      </c>
      <c r="P45" s="50">
        <f>IF(OR($A45="",F$6=""),0,SUMPRODUCT(MAX((Escaleta!$A$5:$A$504=$B$4)*(Escaleta!$H$5:$H$504=F$6)*(Escaleta!$K$5:$K$504&lt;&gt;"Cancelada")*(Escaleta!$C$5:$C$504&lt;$A45+Configuración!$C$7/1440)*(Escaleta!$E$5:$E$504&gt;$A45)*ROW(Escaleta!$A$5:$A$504))))</f>
        <v/>
      </c>
      <c r="Q45" s="50">
        <f>IF(OR($A45="",G$6=""),0,SUMPRODUCT(MAX((Escaleta!$A$5:$A$504=$B$4)*(Escaleta!$H$5:$H$504=G$6)*(Escaleta!$K$5:$K$504&lt;&gt;"Cancelada")*(Escaleta!$C$5:$C$504&lt;$A45+Configuración!$C$7/1440)*(Escaleta!$E$5:$E$504&gt;$A45)*ROW(Escaleta!$A$5:$A$504))))</f>
        <v/>
      </c>
      <c r="R45" s="50">
        <f>IF(OR($A45="",H$6=""),0,SUMPRODUCT(MAX((Escaleta!$A$5:$A$504=$B$4)*(Escaleta!$H$5:$H$504=H$6)*(Escaleta!$K$5:$K$504&lt;&gt;"Cancelada")*(Escaleta!$C$5:$C$504&lt;$A45+Configuración!$C$7/1440)*(Escaleta!$E$5:$E$504&gt;$A45)*ROW(Escaleta!$A$5:$A$504))))</f>
        <v/>
      </c>
      <c r="S45" s="50">
        <f>IF(OR($A45="",I$6=""),0,SUMPRODUCT(MAX((Escaleta!$A$5:$A$504=$B$4)*(Escaleta!$H$5:$H$504=I$6)*(Escaleta!$K$5:$K$504&lt;&gt;"Cancelada")*(Escaleta!$C$5:$C$504&lt;$A45+Configuración!$C$7/1440)*(Escaleta!$E$5:$E$504&gt;$A45)*ROW(Escaleta!$A$5:$A$504))))</f>
        <v/>
      </c>
      <c r="U45" s="50">
        <f>IF(L45=0,"",INDEX(Escaleta!$I$1:$I$504,L45))</f>
        <v/>
      </c>
      <c r="V45" s="50">
        <f>IF(M45=0,"",INDEX(Escaleta!$I$1:$I$504,M45))</f>
        <v/>
      </c>
      <c r="W45" s="50">
        <f>IF(N45=0,"",INDEX(Escaleta!$I$1:$I$504,N45))</f>
        <v/>
      </c>
      <c r="X45" s="50">
        <f>IF(O45=0,"",INDEX(Escaleta!$I$1:$I$504,O45))</f>
        <v/>
      </c>
      <c r="Y45" s="50">
        <f>IF(P45=0,"",INDEX(Escaleta!$I$1:$I$504,P45))</f>
        <v/>
      </c>
      <c r="Z45" s="50">
        <f>IF(Q45=0,"",INDEX(Escaleta!$I$1:$I$504,Q45))</f>
        <v/>
      </c>
      <c r="AA45" s="50">
        <f>IF(R45=0,"",INDEX(Escaleta!$I$1:$I$504,R45))</f>
        <v/>
      </c>
      <c r="AB45" s="50">
        <f>IF(S45=0,"",INDEX(Escaleta!$I$1:$I$504,S45))</f>
        <v/>
      </c>
    </row>
    <row r="46" ht="18" customHeight="1">
      <c r="A46" s="48">
        <f>IF(A45="","",IF(A45+Configuración!$C$7/1440&gt;Configuración!$C$6-0.0001,"",A45+Configuración!$C$7/1440))</f>
        <v/>
      </c>
      <c r="B46" s="49">
        <f>IF(L46=0,"",IF(L46&lt;&gt;L45,INDEX(Escaleta!$F$1:$F$504,L46),IF(L46&lt;&gt;L44,TEXT(INDEX(Escaleta!$C$1:$C$504,L46),"hh:mm")&amp;"–"&amp;TEXT(INDEX(Escaleta!$E$1:$E$504,L46),"hh:mm"),"")))</f>
        <v/>
      </c>
      <c r="C46" s="49">
        <f>IF(M46=0,"",IF(M46&lt;&gt;M45,INDEX(Escaleta!$F$1:$F$504,M46),IF(M46&lt;&gt;M44,TEXT(INDEX(Escaleta!$C$1:$C$504,M46),"hh:mm")&amp;"–"&amp;TEXT(INDEX(Escaleta!$E$1:$E$504,M46),"hh:mm"),"")))</f>
        <v/>
      </c>
      <c r="D46" s="49">
        <f>IF(N46=0,"",IF(N46&lt;&gt;N45,INDEX(Escaleta!$F$1:$F$504,N46),IF(N46&lt;&gt;N44,TEXT(INDEX(Escaleta!$C$1:$C$504,N46),"hh:mm")&amp;"–"&amp;TEXT(INDEX(Escaleta!$E$1:$E$504,N46),"hh:mm"),"")))</f>
        <v/>
      </c>
      <c r="E46" s="49">
        <f>IF(O46=0,"",IF(O46&lt;&gt;O45,INDEX(Escaleta!$F$1:$F$504,O46),IF(O46&lt;&gt;O44,TEXT(INDEX(Escaleta!$C$1:$C$504,O46),"hh:mm")&amp;"–"&amp;TEXT(INDEX(Escaleta!$E$1:$E$504,O46),"hh:mm"),"")))</f>
        <v/>
      </c>
      <c r="F46" s="49">
        <f>IF(P46=0,"",IF(P46&lt;&gt;P45,INDEX(Escaleta!$F$1:$F$504,P46),IF(P46&lt;&gt;P44,TEXT(INDEX(Escaleta!$C$1:$C$504,P46),"hh:mm")&amp;"–"&amp;TEXT(INDEX(Escaleta!$E$1:$E$504,P46),"hh:mm"),"")))</f>
        <v/>
      </c>
      <c r="G46" s="49">
        <f>IF(Q46=0,"",IF(Q46&lt;&gt;Q45,INDEX(Escaleta!$F$1:$F$504,Q46),IF(Q46&lt;&gt;Q44,TEXT(INDEX(Escaleta!$C$1:$C$504,Q46),"hh:mm")&amp;"–"&amp;TEXT(INDEX(Escaleta!$E$1:$E$504,Q46),"hh:mm"),"")))</f>
        <v/>
      </c>
      <c r="H46" s="49">
        <f>IF(R46=0,"",IF(R46&lt;&gt;R45,INDEX(Escaleta!$F$1:$F$504,R46),IF(R46&lt;&gt;R44,TEXT(INDEX(Escaleta!$C$1:$C$504,R46),"hh:mm")&amp;"–"&amp;TEXT(INDEX(Escaleta!$E$1:$E$504,R46),"hh:mm"),"")))</f>
        <v/>
      </c>
      <c r="I46" s="49">
        <f>IF(S46=0,"",IF(S46&lt;&gt;S45,INDEX(Escaleta!$F$1:$F$504,S46),IF(S46&lt;&gt;S44,TEXT(INDEX(Escaleta!$C$1:$C$504,S46),"hh:mm")&amp;"–"&amp;TEXT(INDEX(Escaleta!$E$1:$E$504,S46),"hh:mm"),"")))</f>
        <v/>
      </c>
      <c r="L46" s="50">
        <f>IF(OR($A46="",B$6=""),0,SUMPRODUCT(MAX((Escaleta!$A$5:$A$504=$B$4)*(Escaleta!$H$5:$H$504=B$6)*(Escaleta!$K$5:$K$504&lt;&gt;"Cancelada")*(Escaleta!$C$5:$C$504&lt;$A46+Configuración!$C$7/1440)*(Escaleta!$E$5:$E$504&gt;$A46)*ROW(Escaleta!$A$5:$A$504))))</f>
        <v/>
      </c>
      <c r="M46" s="50">
        <f>IF(OR($A46="",C$6=""),0,SUMPRODUCT(MAX((Escaleta!$A$5:$A$504=$B$4)*(Escaleta!$H$5:$H$504=C$6)*(Escaleta!$K$5:$K$504&lt;&gt;"Cancelada")*(Escaleta!$C$5:$C$504&lt;$A46+Configuración!$C$7/1440)*(Escaleta!$E$5:$E$504&gt;$A46)*ROW(Escaleta!$A$5:$A$504))))</f>
        <v/>
      </c>
      <c r="N46" s="50">
        <f>IF(OR($A46="",D$6=""),0,SUMPRODUCT(MAX((Escaleta!$A$5:$A$504=$B$4)*(Escaleta!$H$5:$H$504=D$6)*(Escaleta!$K$5:$K$504&lt;&gt;"Cancelada")*(Escaleta!$C$5:$C$504&lt;$A46+Configuración!$C$7/1440)*(Escaleta!$E$5:$E$504&gt;$A46)*ROW(Escaleta!$A$5:$A$504))))</f>
        <v/>
      </c>
      <c r="O46" s="50">
        <f>IF(OR($A46="",E$6=""),0,SUMPRODUCT(MAX((Escaleta!$A$5:$A$504=$B$4)*(Escaleta!$H$5:$H$504=E$6)*(Escaleta!$K$5:$K$504&lt;&gt;"Cancelada")*(Escaleta!$C$5:$C$504&lt;$A46+Configuración!$C$7/1440)*(Escaleta!$E$5:$E$504&gt;$A46)*ROW(Escaleta!$A$5:$A$504))))</f>
        <v/>
      </c>
      <c r="P46" s="50">
        <f>IF(OR($A46="",F$6=""),0,SUMPRODUCT(MAX((Escaleta!$A$5:$A$504=$B$4)*(Escaleta!$H$5:$H$504=F$6)*(Escaleta!$K$5:$K$504&lt;&gt;"Cancelada")*(Escaleta!$C$5:$C$504&lt;$A46+Configuración!$C$7/1440)*(Escaleta!$E$5:$E$504&gt;$A46)*ROW(Escaleta!$A$5:$A$504))))</f>
        <v/>
      </c>
      <c r="Q46" s="50">
        <f>IF(OR($A46="",G$6=""),0,SUMPRODUCT(MAX((Escaleta!$A$5:$A$504=$B$4)*(Escaleta!$H$5:$H$504=G$6)*(Escaleta!$K$5:$K$504&lt;&gt;"Cancelada")*(Escaleta!$C$5:$C$504&lt;$A46+Configuración!$C$7/1440)*(Escaleta!$E$5:$E$504&gt;$A46)*ROW(Escaleta!$A$5:$A$504))))</f>
        <v/>
      </c>
      <c r="R46" s="50">
        <f>IF(OR($A46="",H$6=""),0,SUMPRODUCT(MAX((Escaleta!$A$5:$A$504=$B$4)*(Escaleta!$H$5:$H$504=H$6)*(Escaleta!$K$5:$K$504&lt;&gt;"Cancelada")*(Escaleta!$C$5:$C$504&lt;$A46+Configuración!$C$7/1440)*(Escaleta!$E$5:$E$504&gt;$A46)*ROW(Escaleta!$A$5:$A$504))))</f>
        <v/>
      </c>
      <c r="S46" s="50">
        <f>IF(OR($A46="",I$6=""),0,SUMPRODUCT(MAX((Escaleta!$A$5:$A$504=$B$4)*(Escaleta!$H$5:$H$504=I$6)*(Escaleta!$K$5:$K$504&lt;&gt;"Cancelada")*(Escaleta!$C$5:$C$504&lt;$A46+Configuración!$C$7/1440)*(Escaleta!$E$5:$E$504&gt;$A46)*ROW(Escaleta!$A$5:$A$504))))</f>
        <v/>
      </c>
      <c r="U46" s="50">
        <f>IF(L46=0,"",INDEX(Escaleta!$I$1:$I$504,L46))</f>
        <v/>
      </c>
      <c r="V46" s="50">
        <f>IF(M46=0,"",INDEX(Escaleta!$I$1:$I$504,M46))</f>
        <v/>
      </c>
      <c r="W46" s="50">
        <f>IF(N46=0,"",INDEX(Escaleta!$I$1:$I$504,N46))</f>
        <v/>
      </c>
      <c r="X46" s="50">
        <f>IF(O46=0,"",INDEX(Escaleta!$I$1:$I$504,O46))</f>
        <v/>
      </c>
      <c r="Y46" s="50">
        <f>IF(P46=0,"",INDEX(Escaleta!$I$1:$I$504,P46))</f>
        <v/>
      </c>
      <c r="Z46" s="50">
        <f>IF(Q46=0,"",INDEX(Escaleta!$I$1:$I$504,Q46))</f>
        <v/>
      </c>
      <c r="AA46" s="50">
        <f>IF(R46=0,"",INDEX(Escaleta!$I$1:$I$504,R46))</f>
        <v/>
      </c>
      <c r="AB46" s="50">
        <f>IF(S46=0,"",INDEX(Escaleta!$I$1:$I$504,S46))</f>
        <v/>
      </c>
    </row>
    <row r="47" ht="18" customHeight="1">
      <c r="A47" s="48">
        <f>IF(A46="","",IF(A46+Configuración!$C$7/1440&gt;Configuración!$C$6-0.0001,"",A46+Configuración!$C$7/1440))</f>
        <v/>
      </c>
      <c r="B47" s="49">
        <f>IF(L47=0,"",IF(L47&lt;&gt;L46,INDEX(Escaleta!$F$1:$F$504,L47),IF(L47&lt;&gt;L45,TEXT(INDEX(Escaleta!$C$1:$C$504,L47),"hh:mm")&amp;"–"&amp;TEXT(INDEX(Escaleta!$E$1:$E$504,L47),"hh:mm"),"")))</f>
        <v/>
      </c>
      <c r="C47" s="49">
        <f>IF(M47=0,"",IF(M47&lt;&gt;M46,INDEX(Escaleta!$F$1:$F$504,M47),IF(M47&lt;&gt;M45,TEXT(INDEX(Escaleta!$C$1:$C$504,M47),"hh:mm")&amp;"–"&amp;TEXT(INDEX(Escaleta!$E$1:$E$504,M47),"hh:mm"),"")))</f>
        <v/>
      </c>
      <c r="D47" s="49">
        <f>IF(N47=0,"",IF(N47&lt;&gt;N46,INDEX(Escaleta!$F$1:$F$504,N47),IF(N47&lt;&gt;N45,TEXT(INDEX(Escaleta!$C$1:$C$504,N47),"hh:mm")&amp;"–"&amp;TEXT(INDEX(Escaleta!$E$1:$E$504,N47),"hh:mm"),"")))</f>
        <v/>
      </c>
      <c r="E47" s="49">
        <f>IF(O47=0,"",IF(O47&lt;&gt;O46,INDEX(Escaleta!$F$1:$F$504,O47),IF(O47&lt;&gt;O45,TEXT(INDEX(Escaleta!$C$1:$C$504,O47),"hh:mm")&amp;"–"&amp;TEXT(INDEX(Escaleta!$E$1:$E$504,O47),"hh:mm"),"")))</f>
        <v/>
      </c>
      <c r="F47" s="49">
        <f>IF(P47=0,"",IF(P47&lt;&gt;P46,INDEX(Escaleta!$F$1:$F$504,P47),IF(P47&lt;&gt;P45,TEXT(INDEX(Escaleta!$C$1:$C$504,P47),"hh:mm")&amp;"–"&amp;TEXT(INDEX(Escaleta!$E$1:$E$504,P47),"hh:mm"),"")))</f>
        <v/>
      </c>
      <c r="G47" s="49">
        <f>IF(Q47=0,"",IF(Q47&lt;&gt;Q46,INDEX(Escaleta!$F$1:$F$504,Q47),IF(Q47&lt;&gt;Q45,TEXT(INDEX(Escaleta!$C$1:$C$504,Q47),"hh:mm")&amp;"–"&amp;TEXT(INDEX(Escaleta!$E$1:$E$504,Q47),"hh:mm"),"")))</f>
        <v/>
      </c>
      <c r="H47" s="49">
        <f>IF(R47=0,"",IF(R47&lt;&gt;R46,INDEX(Escaleta!$F$1:$F$504,R47),IF(R47&lt;&gt;R45,TEXT(INDEX(Escaleta!$C$1:$C$504,R47),"hh:mm")&amp;"–"&amp;TEXT(INDEX(Escaleta!$E$1:$E$504,R47),"hh:mm"),"")))</f>
        <v/>
      </c>
      <c r="I47" s="49">
        <f>IF(S47=0,"",IF(S47&lt;&gt;S46,INDEX(Escaleta!$F$1:$F$504,S47),IF(S47&lt;&gt;S45,TEXT(INDEX(Escaleta!$C$1:$C$504,S47),"hh:mm")&amp;"–"&amp;TEXT(INDEX(Escaleta!$E$1:$E$504,S47),"hh:mm"),"")))</f>
        <v/>
      </c>
      <c r="L47" s="50">
        <f>IF(OR($A47="",B$6=""),0,SUMPRODUCT(MAX((Escaleta!$A$5:$A$504=$B$4)*(Escaleta!$H$5:$H$504=B$6)*(Escaleta!$K$5:$K$504&lt;&gt;"Cancelada")*(Escaleta!$C$5:$C$504&lt;$A47+Configuración!$C$7/1440)*(Escaleta!$E$5:$E$504&gt;$A47)*ROW(Escaleta!$A$5:$A$504))))</f>
        <v/>
      </c>
      <c r="M47" s="50">
        <f>IF(OR($A47="",C$6=""),0,SUMPRODUCT(MAX((Escaleta!$A$5:$A$504=$B$4)*(Escaleta!$H$5:$H$504=C$6)*(Escaleta!$K$5:$K$504&lt;&gt;"Cancelada")*(Escaleta!$C$5:$C$504&lt;$A47+Configuración!$C$7/1440)*(Escaleta!$E$5:$E$504&gt;$A47)*ROW(Escaleta!$A$5:$A$504))))</f>
        <v/>
      </c>
      <c r="N47" s="50">
        <f>IF(OR($A47="",D$6=""),0,SUMPRODUCT(MAX((Escaleta!$A$5:$A$504=$B$4)*(Escaleta!$H$5:$H$504=D$6)*(Escaleta!$K$5:$K$504&lt;&gt;"Cancelada")*(Escaleta!$C$5:$C$504&lt;$A47+Configuración!$C$7/1440)*(Escaleta!$E$5:$E$504&gt;$A47)*ROW(Escaleta!$A$5:$A$504))))</f>
        <v/>
      </c>
      <c r="O47" s="50">
        <f>IF(OR($A47="",E$6=""),0,SUMPRODUCT(MAX((Escaleta!$A$5:$A$504=$B$4)*(Escaleta!$H$5:$H$504=E$6)*(Escaleta!$K$5:$K$504&lt;&gt;"Cancelada")*(Escaleta!$C$5:$C$504&lt;$A47+Configuración!$C$7/1440)*(Escaleta!$E$5:$E$504&gt;$A47)*ROW(Escaleta!$A$5:$A$504))))</f>
        <v/>
      </c>
      <c r="P47" s="50">
        <f>IF(OR($A47="",F$6=""),0,SUMPRODUCT(MAX((Escaleta!$A$5:$A$504=$B$4)*(Escaleta!$H$5:$H$504=F$6)*(Escaleta!$K$5:$K$504&lt;&gt;"Cancelada")*(Escaleta!$C$5:$C$504&lt;$A47+Configuración!$C$7/1440)*(Escaleta!$E$5:$E$504&gt;$A47)*ROW(Escaleta!$A$5:$A$504))))</f>
        <v/>
      </c>
      <c r="Q47" s="50">
        <f>IF(OR($A47="",G$6=""),0,SUMPRODUCT(MAX((Escaleta!$A$5:$A$504=$B$4)*(Escaleta!$H$5:$H$504=G$6)*(Escaleta!$K$5:$K$504&lt;&gt;"Cancelada")*(Escaleta!$C$5:$C$504&lt;$A47+Configuración!$C$7/1440)*(Escaleta!$E$5:$E$504&gt;$A47)*ROW(Escaleta!$A$5:$A$504))))</f>
        <v/>
      </c>
      <c r="R47" s="50">
        <f>IF(OR($A47="",H$6=""),0,SUMPRODUCT(MAX((Escaleta!$A$5:$A$504=$B$4)*(Escaleta!$H$5:$H$504=H$6)*(Escaleta!$K$5:$K$504&lt;&gt;"Cancelada")*(Escaleta!$C$5:$C$504&lt;$A47+Configuración!$C$7/1440)*(Escaleta!$E$5:$E$504&gt;$A47)*ROW(Escaleta!$A$5:$A$504))))</f>
        <v/>
      </c>
      <c r="S47" s="50">
        <f>IF(OR($A47="",I$6=""),0,SUMPRODUCT(MAX((Escaleta!$A$5:$A$504=$B$4)*(Escaleta!$H$5:$H$504=I$6)*(Escaleta!$K$5:$K$504&lt;&gt;"Cancelada")*(Escaleta!$C$5:$C$504&lt;$A47+Configuración!$C$7/1440)*(Escaleta!$E$5:$E$504&gt;$A47)*ROW(Escaleta!$A$5:$A$504))))</f>
        <v/>
      </c>
      <c r="U47" s="50">
        <f>IF(L47=0,"",INDEX(Escaleta!$I$1:$I$504,L47))</f>
        <v/>
      </c>
      <c r="V47" s="50">
        <f>IF(M47=0,"",INDEX(Escaleta!$I$1:$I$504,M47))</f>
        <v/>
      </c>
      <c r="W47" s="50">
        <f>IF(N47=0,"",INDEX(Escaleta!$I$1:$I$504,N47))</f>
        <v/>
      </c>
      <c r="X47" s="50">
        <f>IF(O47=0,"",INDEX(Escaleta!$I$1:$I$504,O47))</f>
        <v/>
      </c>
      <c r="Y47" s="50">
        <f>IF(P47=0,"",INDEX(Escaleta!$I$1:$I$504,P47))</f>
        <v/>
      </c>
      <c r="Z47" s="50">
        <f>IF(Q47=0,"",INDEX(Escaleta!$I$1:$I$504,Q47))</f>
        <v/>
      </c>
      <c r="AA47" s="50">
        <f>IF(R47=0,"",INDEX(Escaleta!$I$1:$I$504,R47))</f>
        <v/>
      </c>
      <c r="AB47" s="50">
        <f>IF(S47=0,"",INDEX(Escaleta!$I$1:$I$504,S47))</f>
        <v/>
      </c>
    </row>
    <row r="48" ht="18" customHeight="1">
      <c r="A48" s="48">
        <f>IF(A47="","",IF(A47+Configuración!$C$7/1440&gt;Configuración!$C$6-0.0001,"",A47+Configuración!$C$7/1440))</f>
        <v/>
      </c>
      <c r="B48" s="49">
        <f>IF(L48=0,"",IF(L48&lt;&gt;L47,INDEX(Escaleta!$F$1:$F$504,L48),IF(L48&lt;&gt;L46,TEXT(INDEX(Escaleta!$C$1:$C$504,L48),"hh:mm")&amp;"–"&amp;TEXT(INDEX(Escaleta!$E$1:$E$504,L48),"hh:mm"),"")))</f>
        <v/>
      </c>
      <c r="C48" s="49">
        <f>IF(M48=0,"",IF(M48&lt;&gt;M47,INDEX(Escaleta!$F$1:$F$504,M48),IF(M48&lt;&gt;M46,TEXT(INDEX(Escaleta!$C$1:$C$504,M48),"hh:mm")&amp;"–"&amp;TEXT(INDEX(Escaleta!$E$1:$E$504,M48),"hh:mm"),"")))</f>
        <v/>
      </c>
      <c r="D48" s="49">
        <f>IF(N48=0,"",IF(N48&lt;&gt;N47,INDEX(Escaleta!$F$1:$F$504,N48),IF(N48&lt;&gt;N46,TEXT(INDEX(Escaleta!$C$1:$C$504,N48),"hh:mm")&amp;"–"&amp;TEXT(INDEX(Escaleta!$E$1:$E$504,N48),"hh:mm"),"")))</f>
        <v/>
      </c>
      <c r="E48" s="49">
        <f>IF(O48=0,"",IF(O48&lt;&gt;O47,INDEX(Escaleta!$F$1:$F$504,O48),IF(O48&lt;&gt;O46,TEXT(INDEX(Escaleta!$C$1:$C$504,O48),"hh:mm")&amp;"–"&amp;TEXT(INDEX(Escaleta!$E$1:$E$504,O48),"hh:mm"),"")))</f>
        <v/>
      </c>
      <c r="F48" s="49">
        <f>IF(P48=0,"",IF(P48&lt;&gt;P47,INDEX(Escaleta!$F$1:$F$504,P48),IF(P48&lt;&gt;P46,TEXT(INDEX(Escaleta!$C$1:$C$504,P48),"hh:mm")&amp;"–"&amp;TEXT(INDEX(Escaleta!$E$1:$E$504,P48),"hh:mm"),"")))</f>
        <v/>
      </c>
      <c r="G48" s="49">
        <f>IF(Q48=0,"",IF(Q48&lt;&gt;Q47,INDEX(Escaleta!$F$1:$F$504,Q48),IF(Q48&lt;&gt;Q46,TEXT(INDEX(Escaleta!$C$1:$C$504,Q48),"hh:mm")&amp;"–"&amp;TEXT(INDEX(Escaleta!$E$1:$E$504,Q48),"hh:mm"),"")))</f>
        <v/>
      </c>
      <c r="H48" s="49">
        <f>IF(R48=0,"",IF(R48&lt;&gt;R47,INDEX(Escaleta!$F$1:$F$504,R48),IF(R48&lt;&gt;R46,TEXT(INDEX(Escaleta!$C$1:$C$504,R48),"hh:mm")&amp;"–"&amp;TEXT(INDEX(Escaleta!$E$1:$E$504,R48),"hh:mm"),"")))</f>
        <v/>
      </c>
      <c r="I48" s="49">
        <f>IF(S48=0,"",IF(S48&lt;&gt;S47,INDEX(Escaleta!$F$1:$F$504,S48),IF(S48&lt;&gt;S46,TEXT(INDEX(Escaleta!$C$1:$C$504,S48),"hh:mm")&amp;"–"&amp;TEXT(INDEX(Escaleta!$E$1:$E$504,S48),"hh:mm"),"")))</f>
        <v/>
      </c>
      <c r="L48" s="50">
        <f>IF(OR($A48="",B$6=""),0,SUMPRODUCT(MAX((Escaleta!$A$5:$A$504=$B$4)*(Escaleta!$H$5:$H$504=B$6)*(Escaleta!$K$5:$K$504&lt;&gt;"Cancelada")*(Escaleta!$C$5:$C$504&lt;$A48+Configuración!$C$7/1440)*(Escaleta!$E$5:$E$504&gt;$A48)*ROW(Escaleta!$A$5:$A$504))))</f>
        <v/>
      </c>
      <c r="M48" s="50">
        <f>IF(OR($A48="",C$6=""),0,SUMPRODUCT(MAX((Escaleta!$A$5:$A$504=$B$4)*(Escaleta!$H$5:$H$504=C$6)*(Escaleta!$K$5:$K$504&lt;&gt;"Cancelada")*(Escaleta!$C$5:$C$504&lt;$A48+Configuración!$C$7/1440)*(Escaleta!$E$5:$E$504&gt;$A48)*ROW(Escaleta!$A$5:$A$504))))</f>
        <v/>
      </c>
      <c r="N48" s="50">
        <f>IF(OR($A48="",D$6=""),0,SUMPRODUCT(MAX((Escaleta!$A$5:$A$504=$B$4)*(Escaleta!$H$5:$H$504=D$6)*(Escaleta!$K$5:$K$504&lt;&gt;"Cancelada")*(Escaleta!$C$5:$C$504&lt;$A48+Configuración!$C$7/1440)*(Escaleta!$E$5:$E$504&gt;$A48)*ROW(Escaleta!$A$5:$A$504))))</f>
        <v/>
      </c>
      <c r="O48" s="50">
        <f>IF(OR($A48="",E$6=""),0,SUMPRODUCT(MAX((Escaleta!$A$5:$A$504=$B$4)*(Escaleta!$H$5:$H$504=E$6)*(Escaleta!$K$5:$K$504&lt;&gt;"Cancelada")*(Escaleta!$C$5:$C$504&lt;$A48+Configuración!$C$7/1440)*(Escaleta!$E$5:$E$504&gt;$A48)*ROW(Escaleta!$A$5:$A$504))))</f>
        <v/>
      </c>
      <c r="P48" s="50">
        <f>IF(OR($A48="",F$6=""),0,SUMPRODUCT(MAX((Escaleta!$A$5:$A$504=$B$4)*(Escaleta!$H$5:$H$504=F$6)*(Escaleta!$K$5:$K$504&lt;&gt;"Cancelada")*(Escaleta!$C$5:$C$504&lt;$A48+Configuración!$C$7/1440)*(Escaleta!$E$5:$E$504&gt;$A48)*ROW(Escaleta!$A$5:$A$504))))</f>
        <v/>
      </c>
      <c r="Q48" s="50">
        <f>IF(OR($A48="",G$6=""),0,SUMPRODUCT(MAX((Escaleta!$A$5:$A$504=$B$4)*(Escaleta!$H$5:$H$504=G$6)*(Escaleta!$K$5:$K$504&lt;&gt;"Cancelada")*(Escaleta!$C$5:$C$504&lt;$A48+Configuración!$C$7/1440)*(Escaleta!$E$5:$E$504&gt;$A48)*ROW(Escaleta!$A$5:$A$504))))</f>
        <v/>
      </c>
      <c r="R48" s="50">
        <f>IF(OR($A48="",H$6=""),0,SUMPRODUCT(MAX((Escaleta!$A$5:$A$504=$B$4)*(Escaleta!$H$5:$H$504=H$6)*(Escaleta!$K$5:$K$504&lt;&gt;"Cancelada")*(Escaleta!$C$5:$C$504&lt;$A48+Configuración!$C$7/1440)*(Escaleta!$E$5:$E$504&gt;$A48)*ROW(Escaleta!$A$5:$A$504))))</f>
        <v/>
      </c>
      <c r="S48" s="50">
        <f>IF(OR($A48="",I$6=""),0,SUMPRODUCT(MAX((Escaleta!$A$5:$A$504=$B$4)*(Escaleta!$H$5:$H$504=I$6)*(Escaleta!$K$5:$K$504&lt;&gt;"Cancelada")*(Escaleta!$C$5:$C$504&lt;$A48+Configuración!$C$7/1440)*(Escaleta!$E$5:$E$504&gt;$A48)*ROW(Escaleta!$A$5:$A$504))))</f>
        <v/>
      </c>
      <c r="U48" s="50">
        <f>IF(L48=0,"",INDEX(Escaleta!$I$1:$I$504,L48))</f>
        <v/>
      </c>
      <c r="V48" s="50">
        <f>IF(M48=0,"",INDEX(Escaleta!$I$1:$I$504,M48))</f>
        <v/>
      </c>
      <c r="W48" s="50">
        <f>IF(N48=0,"",INDEX(Escaleta!$I$1:$I$504,N48))</f>
        <v/>
      </c>
      <c r="X48" s="50">
        <f>IF(O48=0,"",INDEX(Escaleta!$I$1:$I$504,O48))</f>
        <v/>
      </c>
      <c r="Y48" s="50">
        <f>IF(P48=0,"",INDEX(Escaleta!$I$1:$I$504,P48))</f>
        <v/>
      </c>
      <c r="Z48" s="50">
        <f>IF(Q48=0,"",INDEX(Escaleta!$I$1:$I$504,Q48))</f>
        <v/>
      </c>
      <c r="AA48" s="50">
        <f>IF(R48=0,"",INDEX(Escaleta!$I$1:$I$504,R48))</f>
        <v/>
      </c>
      <c r="AB48" s="50">
        <f>IF(S48=0,"",INDEX(Escaleta!$I$1:$I$504,S48))</f>
        <v/>
      </c>
    </row>
    <row r="49" ht="18" customHeight="1">
      <c r="A49" s="48">
        <f>IF(A48="","",IF(A48+Configuración!$C$7/1440&gt;Configuración!$C$6-0.0001,"",A48+Configuración!$C$7/1440))</f>
        <v/>
      </c>
      <c r="B49" s="49">
        <f>IF(L49=0,"",IF(L49&lt;&gt;L48,INDEX(Escaleta!$F$1:$F$504,L49),IF(L49&lt;&gt;L47,TEXT(INDEX(Escaleta!$C$1:$C$504,L49),"hh:mm")&amp;"–"&amp;TEXT(INDEX(Escaleta!$E$1:$E$504,L49),"hh:mm"),"")))</f>
        <v/>
      </c>
      <c r="C49" s="49">
        <f>IF(M49=0,"",IF(M49&lt;&gt;M48,INDEX(Escaleta!$F$1:$F$504,M49),IF(M49&lt;&gt;M47,TEXT(INDEX(Escaleta!$C$1:$C$504,M49),"hh:mm")&amp;"–"&amp;TEXT(INDEX(Escaleta!$E$1:$E$504,M49),"hh:mm"),"")))</f>
        <v/>
      </c>
      <c r="D49" s="49">
        <f>IF(N49=0,"",IF(N49&lt;&gt;N48,INDEX(Escaleta!$F$1:$F$504,N49),IF(N49&lt;&gt;N47,TEXT(INDEX(Escaleta!$C$1:$C$504,N49),"hh:mm")&amp;"–"&amp;TEXT(INDEX(Escaleta!$E$1:$E$504,N49),"hh:mm"),"")))</f>
        <v/>
      </c>
      <c r="E49" s="49">
        <f>IF(O49=0,"",IF(O49&lt;&gt;O48,INDEX(Escaleta!$F$1:$F$504,O49),IF(O49&lt;&gt;O47,TEXT(INDEX(Escaleta!$C$1:$C$504,O49),"hh:mm")&amp;"–"&amp;TEXT(INDEX(Escaleta!$E$1:$E$504,O49),"hh:mm"),"")))</f>
        <v/>
      </c>
      <c r="F49" s="49">
        <f>IF(P49=0,"",IF(P49&lt;&gt;P48,INDEX(Escaleta!$F$1:$F$504,P49),IF(P49&lt;&gt;P47,TEXT(INDEX(Escaleta!$C$1:$C$504,P49),"hh:mm")&amp;"–"&amp;TEXT(INDEX(Escaleta!$E$1:$E$504,P49),"hh:mm"),"")))</f>
        <v/>
      </c>
      <c r="G49" s="49">
        <f>IF(Q49=0,"",IF(Q49&lt;&gt;Q48,INDEX(Escaleta!$F$1:$F$504,Q49),IF(Q49&lt;&gt;Q47,TEXT(INDEX(Escaleta!$C$1:$C$504,Q49),"hh:mm")&amp;"–"&amp;TEXT(INDEX(Escaleta!$E$1:$E$504,Q49),"hh:mm"),"")))</f>
        <v/>
      </c>
      <c r="H49" s="49">
        <f>IF(R49=0,"",IF(R49&lt;&gt;R48,INDEX(Escaleta!$F$1:$F$504,R49),IF(R49&lt;&gt;R47,TEXT(INDEX(Escaleta!$C$1:$C$504,R49),"hh:mm")&amp;"–"&amp;TEXT(INDEX(Escaleta!$E$1:$E$504,R49),"hh:mm"),"")))</f>
        <v/>
      </c>
      <c r="I49" s="49">
        <f>IF(S49=0,"",IF(S49&lt;&gt;S48,INDEX(Escaleta!$F$1:$F$504,S49),IF(S49&lt;&gt;S47,TEXT(INDEX(Escaleta!$C$1:$C$504,S49),"hh:mm")&amp;"–"&amp;TEXT(INDEX(Escaleta!$E$1:$E$504,S49),"hh:mm"),"")))</f>
        <v/>
      </c>
      <c r="L49" s="50">
        <f>IF(OR($A49="",B$6=""),0,SUMPRODUCT(MAX((Escaleta!$A$5:$A$504=$B$4)*(Escaleta!$H$5:$H$504=B$6)*(Escaleta!$K$5:$K$504&lt;&gt;"Cancelada")*(Escaleta!$C$5:$C$504&lt;$A49+Configuración!$C$7/1440)*(Escaleta!$E$5:$E$504&gt;$A49)*ROW(Escaleta!$A$5:$A$504))))</f>
        <v/>
      </c>
      <c r="M49" s="50">
        <f>IF(OR($A49="",C$6=""),0,SUMPRODUCT(MAX((Escaleta!$A$5:$A$504=$B$4)*(Escaleta!$H$5:$H$504=C$6)*(Escaleta!$K$5:$K$504&lt;&gt;"Cancelada")*(Escaleta!$C$5:$C$504&lt;$A49+Configuración!$C$7/1440)*(Escaleta!$E$5:$E$504&gt;$A49)*ROW(Escaleta!$A$5:$A$504))))</f>
        <v/>
      </c>
      <c r="N49" s="50">
        <f>IF(OR($A49="",D$6=""),0,SUMPRODUCT(MAX((Escaleta!$A$5:$A$504=$B$4)*(Escaleta!$H$5:$H$504=D$6)*(Escaleta!$K$5:$K$504&lt;&gt;"Cancelada")*(Escaleta!$C$5:$C$504&lt;$A49+Configuración!$C$7/1440)*(Escaleta!$E$5:$E$504&gt;$A49)*ROW(Escaleta!$A$5:$A$504))))</f>
        <v/>
      </c>
      <c r="O49" s="50">
        <f>IF(OR($A49="",E$6=""),0,SUMPRODUCT(MAX((Escaleta!$A$5:$A$504=$B$4)*(Escaleta!$H$5:$H$504=E$6)*(Escaleta!$K$5:$K$504&lt;&gt;"Cancelada")*(Escaleta!$C$5:$C$504&lt;$A49+Configuración!$C$7/1440)*(Escaleta!$E$5:$E$504&gt;$A49)*ROW(Escaleta!$A$5:$A$504))))</f>
        <v/>
      </c>
      <c r="P49" s="50">
        <f>IF(OR($A49="",F$6=""),0,SUMPRODUCT(MAX((Escaleta!$A$5:$A$504=$B$4)*(Escaleta!$H$5:$H$504=F$6)*(Escaleta!$K$5:$K$504&lt;&gt;"Cancelada")*(Escaleta!$C$5:$C$504&lt;$A49+Configuración!$C$7/1440)*(Escaleta!$E$5:$E$504&gt;$A49)*ROW(Escaleta!$A$5:$A$504))))</f>
        <v/>
      </c>
      <c r="Q49" s="50">
        <f>IF(OR($A49="",G$6=""),0,SUMPRODUCT(MAX((Escaleta!$A$5:$A$504=$B$4)*(Escaleta!$H$5:$H$504=G$6)*(Escaleta!$K$5:$K$504&lt;&gt;"Cancelada")*(Escaleta!$C$5:$C$504&lt;$A49+Configuración!$C$7/1440)*(Escaleta!$E$5:$E$504&gt;$A49)*ROW(Escaleta!$A$5:$A$504))))</f>
        <v/>
      </c>
      <c r="R49" s="50">
        <f>IF(OR($A49="",H$6=""),0,SUMPRODUCT(MAX((Escaleta!$A$5:$A$504=$B$4)*(Escaleta!$H$5:$H$504=H$6)*(Escaleta!$K$5:$K$504&lt;&gt;"Cancelada")*(Escaleta!$C$5:$C$504&lt;$A49+Configuración!$C$7/1440)*(Escaleta!$E$5:$E$504&gt;$A49)*ROW(Escaleta!$A$5:$A$504))))</f>
        <v/>
      </c>
      <c r="S49" s="50">
        <f>IF(OR($A49="",I$6=""),0,SUMPRODUCT(MAX((Escaleta!$A$5:$A$504=$B$4)*(Escaleta!$H$5:$H$504=I$6)*(Escaleta!$K$5:$K$504&lt;&gt;"Cancelada")*(Escaleta!$C$5:$C$504&lt;$A49+Configuración!$C$7/1440)*(Escaleta!$E$5:$E$504&gt;$A49)*ROW(Escaleta!$A$5:$A$504))))</f>
        <v/>
      </c>
      <c r="U49" s="50">
        <f>IF(L49=0,"",INDEX(Escaleta!$I$1:$I$504,L49))</f>
        <v/>
      </c>
      <c r="V49" s="50">
        <f>IF(M49=0,"",INDEX(Escaleta!$I$1:$I$504,M49))</f>
        <v/>
      </c>
      <c r="W49" s="50">
        <f>IF(N49=0,"",INDEX(Escaleta!$I$1:$I$504,N49))</f>
        <v/>
      </c>
      <c r="X49" s="50">
        <f>IF(O49=0,"",INDEX(Escaleta!$I$1:$I$504,O49))</f>
        <v/>
      </c>
      <c r="Y49" s="50">
        <f>IF(P49=0,"",INDEX(Escaleta!$I$1:$I$504,P49))</f>
        <v/>
      </c>
      <c r="Z49" s="50">
        <f>IF(Q49=0,"",INDEX(Escaleta!$I$1:$I$504,Q49))</f>
        <v/>
      </c>
      <c r="AA49" s="50">
        <f>IF(R49=0,"",INDEX(Escaleta!$I$1:$I$504,R49))</f>
        <v/>
      </c>
      <c r="AB49" s="50">
        <f>IF(S49=0,"",INDEX(Escaleta!$I$1:$I$504,S49))</f>
        <v/>
      </c>
    </row>
    <row r="50" ht="18" customHeight="1">
      <c r="A50" s="48">
        <f>IF(A49="","",IF(A49+Configuración!$C$7/1440&gt;Configuración!$C$6-0.0001,"",A49+Configuración!$C$7/1440))</f>
        <v/>
      </c>
      <c r="B50" s="49">
        <f>IF(L50=0,"",IF(L50&lt;&gt;L49,INDEX(Escaleta!$F$1:$F$504,L50),IF(L50&lt;&gt;L48,TEXT(INDEX(Escaleta!$C$1:$C$504,L50),"hh:mm")&amp;"–"&amp;TEXT(INDEX(Escaleta!$E$1:$E$504,L50),"hh:mm"),"")))</f>
        <v/>
      </c>
      <c r="C50" s="49">
        <f>IF(M50=0,"",IF(M50&lt;&gt;M49,INDEX(Escaleta!$F$1:$F$504,M50),IF(M50&lt;&gt;M48,TEXT(INDEX(Escaleta!$C$1:$C$504,M50),"hh:mm")&amp;"–"&amp;TEXT(INDEX(Escaleta!$E$1:$E$504,M50),"hh:mm"),"")))</f>
        <v/>
      </c>
      <c r="D50" s="49">
        <f>IF(N50=0,"",IF(N50&lt;&gt;N49,INDEX(Escaleta!$F$1:$F$504,N50),IF(N50&lt;&gt;N48,TEXT(INDEX(Escaleta!$C$1:$C$504,N50),"hh:mm")&amp;"–"&amp;TEXT(INDEX(Escaleta!$E$1:$E$504,N50),"hh:mm"),"")))</f>
        <v/>
      </c>
      <c r="E50" s="49">
        <f>IF(O50=0,"",IF(O50&lt;&gt;O49,INDEX(Escaleta!$F$1:$F$504,O50),IF(O50&lt;&gt;O48,TEXT(INDEX(Escaleta!$C$1:$C$504,O50),"hh:mm")&amp;"–"&amp;TEXT(INDEX(Escaleta!$E$1:$E$504,O50),"hh:mm"),"")))</f>
        <v/>
      </c>
      <c r="F50" s="49">
        <f>IF(P50=0,"",IF(P50&lt;&gt;P49,INDEX(Escaleta!$F$1:$F$504,P50),IF(P50&lt;&gt;P48,TEXT(INDEX(Escaleta!$C$1:$C$504,P50),"hh:mm")&amp;"–"&amp;TEXT(INDEX(Escaleta!$E$1:$E$504,P50),"hh:mm"),"")))</f>
        <v/>
      </c>
      <c r="G50" s="49">
        <f>IF(Q50=0,"",IF(Q50&lt;&gt;Q49,INDEX(Escaleta!$F$1:$F$504,Q50),IF(Q50&lt;&gt;Q48,TEXT(INDEX(Escaleta!$C$1:$C$504,Q50),"hh:mm")&amp;"–"&amp;TEXT(INDEX(Escaleta!$E$1:$E$504,Q50),"hh:mm"),"")))</f>
        <v/>
      </c>
      <c r="H50" s="49">
        <f>IF(R50=0,"",IF(R50&lt;&gt;R49,INDEX(Escaleta!$F$1:$F$504,R50),IF(R50&lt;&gt;R48,TEXT(INDEX(Escaleta!$C$1:$C$504,R50),"hh:mm")&amp;"–"&amp;TEXT(INDEX(Escaleta!$E$1:$E$504,R50),"hh:mm"),"")))</f>
        <v/>
      </c>
      <c r="I50" s="49">
        <f>IF(S50=0,"",IF(S50&lt;&gt;S49,INDEX(Escaleta!$F$1:$F$504,S50),IF(S50&lt;&gt;S48,TEXT(INDEX(Escaleta!$C$1:$C$504,S50),"hh:mm")&amp;"–"&amp;TEXT(INDEX(Escaleta!$E$1:$E$504,S50),"hh:mm"),"")))</f>
        <v/>
      </c>
      <c r="L50" s="50">
        <f>IF(OR($A50="",B$6=""),0,SUMPRODUCT(MAX((Escaleta!$A$5:$A$504=$B$4)*(Escaleta!$H$5:$H$504=B$6)*(Escaleta!$K$5:$K$504&lt;&gt;"Cancelada")*(Escaleta!$C$5:$C$504&lt;$A50+Configuración!$C$7/1440)*(Escaleta!$E$5:$E$504&gt;$A50)*ROW(Escaleta!$A$5:$A$504))))</f>
        <v/>
      </c>
      <c r="M50" s="50">
        <f>IF(OR($A50="",C$6=""),0,SUMPRODUCT(MAX((Escaleta!$A$5:$A$504=$B$4)*(Escaleta!$H$5:$H$504=C$6)*(Escaleta!$K$5:$K$504&lt;&gt;"Cancelada")*(Escaleta!$C$5:$C$504&lt;$A50+Configuración!$C$7/1440)*(Escaleta!$E$5:$E$504&gt;$A50)*ROW(Escaleta!$A$5:$A$504))))</f>
        <v/>
      </c>
      <c r="N50" s="50">
        <f>IF(OR($A50="",D$6=""),0,SUMPRODUCT(MAX((Escaleta!$A$5:$A$504=$B$4)*(Escaleta!$H$5:$H$504=D$6)*(Escaleta!$K$5:$K$504&lt;&gt;"Cancelada")*(Escaleta!$C$5:$C$504&lt;$A50+Configuración!$C$7/1440)*(Escaleta!$E$5:$E$504&gt;$A50)*ROW(Escaleta!$A$5:$A$504))))</f>
        <v/>
      </c>
      <c r="O50" s="50">
        <f>IF(OR($A50="",E$6=""),0,SUMPRODUCT(MAX((Escaleta!$A$5:$A$504=$B$4)*(Escaleta!$H$5:$H$504=E$6)*(Escaleta!$K$5:$K$504&lt;&gt;"Cancelada")*(Escaleta!$C$5:$C$504&lt;$A50+Configuración!$C$7/1440)*(Escaleta!$E$5:$E$504&gt;$A50)*ROW(Escaleta!$A$5:$A$504))))</f>
        <v/>
      </c>
      <c r="P50" s="50">
        <f>IF(OR($A50="",F$6=""),0,SUMPRODUCT(MAX((Escaleta!$A$5:$A$504=$B$4)*(Escaleta!$H$5:$H$504=F$6)*(Escaleta!$K$5:$K$504&lt;&gt;"Cancelada")*(Escaleta!$C$5:$C$504&lt;$A50+Configuración!$C$7/1440)*(Escaleta!$E$5:$E$504&gt;$A50)*ROW(Escaleta!$A$5:$A$504))))</f>
        <v/>
      </c>
      <c r="Q50" s="50">
        <f>IF(OR($A50="",G$6=""),0,SUMPRODUCT(MAX((Escaleta!$A$5:$A$504=$B$4)*(Escaleta!$H$5:$H$504=G$6)*(Escaleta!$K$5:$K$504&lt;&gt;"Cancelada")*(Escaleta!$C$5:$C$504&lt;$A50+Configuración!$C$7/1440)*(Escaleta!$E$5:$E$504&gt;$A50)*ROW(Escaleta!$A$5:$A$504))))</f>
        <v/>
      </c>
      <c r="R50" s="50">
        <f>IF(OR($A50="",H$6=""),0,SUMPRODUCT(MAX((Escaleta!$A$5:$A$504=$B$4)*(Escaleta!$H$5:$H$504=H$6)*(Escaleta!$K$5:$K$504&lt;&gt;"Cancelada")*(Escaleta!$C$5:$C$504&lt;$A50+Configuración!$C$7/1440)*(Escaleta!$E$5:$E$504&gt;$A50)*ROW(Escaleta!$A$5:$A$504))))</f>
        <v/>
      </c>
      <c r="S50" s="50">
        <f>IF(OR($A50="",I$6=""),0,SUMPRODUCT(MAX((Escaleta!$A$5:$A$504=$B$4)*(Escaleta!$H$5:$H$504=I$6)*(Escaleta!$K$5:$K$504&lt;&gt;"Cancelada")*(Escaleta!$C$5:$C$504&lt;$A50+Configuración!$C$7/1440)*(Escaleta!$E$5:$E$504&gt;$A50)*ROW(Escaleta!$A$5:$A$504))))</f>
        <v/>
      </c>
      <c r="U50" s="50">
        <f>IF(L50=0,"",INDEX(Escaleta!$I$1:$I$504,L50))</f>
        <v/>
      </c>
      <c r="V50" s="50">
        <f>IF(M50=0,"",INDEX(Escaleta!$I$1:$I$504,M50))</f>
        <v/>
      </c>
      <c r="W50" s="50">
        <f>IF(N50=0,"",INDEX(Escaleta!$I$1:$I$504,N50))</f>
        <v/>
      </c>
      <c r="X50" s="50">
        <f>IF(O50=0,"",INDEX(Escaleta!$I$1:$I$504,O50))</f>
        <v/>
      </c>
      <c r="Y50" s="50">
        <f>IF(P50=0,"",INDEX(Escaleta!$I$1:$I$504,P50))</f>
        <v/>
      </c>
      <c r="Z50" s="50">
        <f>IF(Q50=0,"",INDEX(Escaleta!$I$1:$I$504,Q50))</f>
        <v/>
      </c>
      <c r="AA50" s="50">
        <f>IF(R50=0,"",INDEX(Escaleta!$I$1:$I$504,R50))</f>
        <v/>
      </c>
      <c r="AB50" s="50">
        <f>IF(S50=0,"",INDEX(Escaleta!$I$1:$I$504,S50))</f>
        <v/>
      </c>
    </row>
    <row r="51" ht="18" customHeight="1">
      <c r="A51" s="48">
        <f>IF(A50="","",IF(A50+Configuración!$C$7/1440&gt;Configuración!$C$6-0.0001,"",A50+Configuración!$C$7/1440))</f>
        <v/>
      </c>
      <c r="B51" s="49">
        <f>IF(L51=0,"",IF(L51&lt;&gt;L50,INDEX(Escaleta!$F$1:$F$504,L51),IF(L51&lt;&gt;L49,TEXT(INDEX(Escaleta!$C$1:$C$504,L51),"hh:mm")&amp;"–"&amp;TEXT(INDEX(Escaleta!$E$1:$E$504,L51),"hh:mm"),"")))</f>
        <v/>
      </c>
      <c r="C51" s="49">
        <f>IF(M51=0,"",IF(M51&lt;&gt;M50,INDEX(Escaleta!$F$1:$F$504,M51),IF(M51&lt;&gt;M49,TEXT(INDEX(Escaleta!$C$1:$C$504,M51),"hh:mm")&amp;"–"&amp;TEXT(INDEX(Escaleta!$E$1:$E$504,M51),"hh:mm"),"")))</f>
        <v/>
      </c>
      <c r="D51" s="49">
        <f>IF(N51=0,"",IF(N51&lt;&gt;N50,INDEX(Escaleta!$F$1:$F$504,N51),IF(N51&lt;&gt;N49,TEXT(INDEX(Escaleta!$C$1:$C$504,N51),"hh:mm")&amp;"–"&amp;TEXT(INDEX(Escaleta!$E$1:$E$504,N51),"hh:mm"),"")))</f>
        <v/>
      </c>
      <c r="E51" s="49">
        <f>IF(O51=0,"",IF(O51&lt;&gt;O50,INDEX(Escaleta!$F$1:$F$504,O51),IF(O51&lt;&gt;O49,TEXT(INDEX(Escaleta!$C$1:$C$504,O51),"hh:mm")&amp;"–"&amp;TEXT(INDEX(Escaleta!$E$1:$E$504,O51),"hh:mm"),"")))</f>
        <v/>
      </c>
      <c r="F51" s="49">
        <f>IF(P51=0,"",IF(P51&lt;&gt;P50,INDEX(Escaleta!$F$1:$F$504,P51),IF(P51&lt;&gt;P49,TEXT(INDEX(Escaleta!$C$1:$C$504,P51),"hh:mm")&amp;"–"&amp;TEXT(INDEX(Escaleta!$E$1:$E$504,P51),"hh:mm"),"")))</f>
        <v/>
      </c>
      <c r="G51" s="49">
        <f>IF(Q51=0,"",IF(Q51&lt;&gt;Q50,INDEX(Escaleta!$F$1:$F$504,Q51),IF(Q51&lt;&gt;Q49,TEXT(INDEX(Escaleta!$C$1:$C$504,Q51),"hh:mm")&amp;"–"&amp;TEXT(INDEX(Escaleta!$E$1:$E$504,Q51),"hh:mm"),"")))</f>
        <v/>
      </c>
      <c r="H51" s="49">
        <f>IF(R51=0,"",IF(R51&lt;&gt;R50,INDEX(Escaleta!$F$1:$F$504,R51),IF(R51&lt;&gt;R49,TEXT(INDEX(Escaleta!$C$1:$C$504,R51),"hh:mm")&amp;"–"&amp;TEXT(INDEX(Escaleta!$E$1:$E$504,R51),"hh:mm"),"")))</f>
        <v/>
      </c>
      <c r="I51" s="49">
        <f>IF(S51=0,"",IF(S51&lt;&gt;S50,INDEX(Escaleta!$F$1:$F$504,S51),IF(S51&lt;&gt;S49,TEXT(INDEX(Escaleta!$C$1:$C$504,S51),"hh:mm")&amp;"–"&amp;TEXT(INDEX(Escaleta!$E$1:$E$504,S51),"hh:mm"),"")))</f>
        <v/>
      </c>
      <c r="L51" s="50">
        <f>IF(OR($A51="",B$6=""),0,SUMPRODUCT(MAX((Escaleta!$A$5:$A$504=$B$4)*(Escaleta!$H$5:$H$504=B$6)*(Escaleta!$K$5:$K$504&lt;&gt;"Cancelada")*(Escaleta!$C$5:$C$504&lt;$A51+Configuración!$C$7/1440)*(Escaleta!$E$5:$E$504&gt;$A51)*ROW(Escaleta!$A$5:$A$504))))</f>
        <v/>
      </c>
      <c r="M51" s="50">
        <f>IF(OR($A51="",C$6=""),0,SUMPRODUCT(MAX((Escaleta!$A$5:$A$504=$B$4)*(Escaleta!$H$5:$H$504=C$6)*(Escaleta!$K$5:$K$504&lt;&gt;"Cancelada")*(Escaleta!$C$5:$C$504&lt;$A51+Configuración!$C$7/1440)*(Escaleta!$E$5:$E$504&gt;$A51)*ROW(Escaleta!$A$5:$A$504))))</f>
        <v/>
      </c>
      <c r="N51" s="50">
        <f>IF(OR($A51="",D$6=""),0,SUMPRODUCT(MAX((Escaleta!$A$5:$A$504=$B$4)*(Escaleta!$H$5:$H$504=D$6)*(Escaleta!$K$5:$K$504&lt;&gt;"Cancelada")*(Escaleta!$C$5:$C$504&lt;$A51+Configuración!$C$7/1440)*(Escaleta!$E$5:$E$504&gt;$A51)*ROW(Escaleta!$A$5:$A$504))))</f>
        <v/>
      </c>
      <c r="O51" s="50">
        <f>IF(OR($A51="",E$6=""),0,SUMPRODUCT(MAX((Escaleta!$A$5:$A$504=$B$4)*(Escaleta!$H$5:$H$504=E$6)*(Escaleta!$K$5:$K$504&lt;&gt;"Cancelada")*(Escaleta!$C$5:$C$504&lt;$A51+Configuración!$C$7/1440)*(Escaleta!$E$5:$E$504&gt;$A51)*ROW(Escaleta!$A$5:$A$504))))</f>
        <v/>
      </c>
      <c r="P51" s="50">
        <f>IF(OR($A51="",F$6=""),0,SUMPRODUCT(MAX((Escaleta!$A$5:$A$504=$B$4)*(Escaleta!$H$5:$H$504=F$6)*(Escaleta!$K$5:$K$504&lt;&gt;"Cancelada")*(Escaleta!$C$5:$C$504&lt;$A51+Configuración!$C$7/1440)*(Escaleta!$E$5:$E$504&gt;$A51)*ROW(Escaleta!$A$5:$A$504))))</f>
        <v/>
      </c>
      <c r="Q51" s="50">
        <f>IF(OR($A51="",G$6=""),0,SUMPRODUCT(MAX((Escaleta!$A$5:$A$504=$B$4)*(Escaleta!$H$5:$H$504=G$6)*(Escaleta!$K$5:$K$504&lt;&gt;"Cancelada")*(Escaleta!$C$5:$C$504&lt;$A51+Configuración!$C$7/1440)*(Escaleta!$E$5:$E$504&gt;$A51)*ROW(Escaleta!$A$5:$A$504))))</f>
        <v/>
      </c>
      <c r="R51" s="50">
        <f>IF(OR($A51="",H$6=""),0,SUMPRODUCT(MAX((Escaleta!$A$5:$A$504=$B$4)*(Escaleta!$H$5:$H$504=H$6)*(Escaleta!$K$5:$K$504&lt;&gt;"Cancelada")*(Escaleta!$C$5:$C$504&lt;$A51+Configuración!$C$7/1440)*(Escaleta!$E$5:$E$504&gt;$A51)*ROW(Escaleta!$A$5:$A$504))))</f>
        <v/>
      </c>
      <c r="S51" s="50">
        <f>IF(OR($A51="",I$6=""),0,SUMPRODUCT(MAX((Escaleta!$A$5:$A$504=$B$4)*(Escaleta!$H$5:$H$504=I$6)*(Escaleta!$K$5:$K$504&lt;&gt;"Cancelada")*(Escaleta!$C$5:$C$504&lt;$A51+Configuración!$C$7/1440)*(Escaleta!$E$5:$E$504&gt;$A51)*ROW(Escaleta!$A$5:$A$504))))</f>
        <v/>
      </c>
      <c r="U51" s="50">
        <f>IF(L51=0,"",INDEX(Escaleta!$I$1:$I$504,L51))</f>
        <v/>
      </c>
      <c r="V51" s="50">
        <f>IF(M51=0,"",INDEX(Escaleta!$I$1:$I$504,M51))</f>
        <v/>
      </c>
      <c r="W51" s="50">
        <f>IF(N51=0,"",INDEX(Escaleta!$I$1:$I$504,N51))</f>
        <v/>
      </c>
      <c r="X51" s="50">
        <f>IF(O51=0,"",INDEX(Escaleta!$I$1:$I$504,O51))</f>
        <v/>
      </c>
      <c r="Y51" s="50">
        <f>IF(P51=0,"",INDEX(Escaleta!$I$1:$I$504,P51))</f>
        <v/>
      </c>
      <c r="Z51" s="50">
        <f>IF(Q51=0,"",INDEX(Escaleta!$I$1:$I$504,Q51))</f>
        <v/>
      </c>
      <c r="AA51" s="50">
        <f>IF(R51=0,"",INDEX(Escaleta!$I$1:$I$504,R51))</f>
        <v/>
      </c>
      <c r="AB51" s="50">
        <f>IF(S51=0,"",INDEX(Escaleta!$I$1:$I$504,S51))</f>
        <v/>
      </c>
    </row>
    <row r="52" ht="18" customHeight="1">
      <c r="A52" s="48">
        <f>IF(A51="","",IF(A51+Configuración!$C$7/1440&gt;Configuración!$C$6-0.0001,"",A51+Configuración!$C$7/1440))</f>
        <v/>
      </c>
      <c r="B52" s="49">
        <f>IF(L52=0,"",IF(L52&lt;&gt;L51,INDEX(Escaleta!$F$1:$F$504,L52),IF(L52&lt;&gt;L50,TEXT(INDEX(Escaleta!$C$1:$C$504,L52),"hh:mm")&amp;"–"&amp;TEXT(INDEX(Escaleta!$E$1:$E$504,L52),"hh:mm"),"")))</f>
        <v/>
      </c>
      <c r="C52" s="49">
        <f>IF(M52=0,"",IF(M52&lt;&gt;M51,INDEX(Escaleta!$F$1:$F$504,M52),IF(M52&lt;&gt;M50,TEXT(INDEX(Escaleta!$C$1:$C$504,M52),"hh:mm")&amp;"–"&amp;TEXT(INDEX(Escaleta!$E$1:$E$504,M52),"hh:mm"),"")))</f>
        <v/>
      </c>
      <c r="D52" s="49">
        <f>IF(N52=0,"",IF(N52&lt;&gt;N51,INDEX(Escaleta!$F$1:$F$504,N52),IF(N52&lt;&gt;N50,TEXT(INDEX(Escaleta!$C$1:$C$504,N52),"hh:mm")&amp;"–"&amp;TEXT(INDEX(Escaleta!$E$1:$E$504,N52),"hh:mm"),"")))</f>
        <v/>
      </c>
      <c r="E52" s="49">
        <f>IF(O52=0,"",IF(O52&lt;&gt;O51,INDEX(Escaleta!$F$1:$F$504,O52),IF(O52&lt;&gt;O50,TEXT(INDEX(Escaleta!$C$1:$C$504,O52),"hh:mm")&amp;"–"&amp;TEXT(INDEX(Escaleta!$E$1:$E$504,O52),"hh:mm"),"")))</f>
        <v/>
      </c>
      <c r="F52" s="49">
        <f>IF(P52=0,"",IF(P52&lt;&gt;P51,INDEX(Escaleta!$F$1:$F$504,P52),IF(P52&lt;&gt;P50,TEXT(INDEX(Escaleta!$C$1:$C$504,P52),"hh:mm")&amp;"–"&amp;TEXT(INDEX(Escaleta!$E$1:$E$504,P52),"hh:mm"),"")))</f>
        <v/>
      </c>
      <c r="G52" s="49">
        <f>IF(Q52=0,"",IF(Q52&lt;&gt;Q51,INDEX(Escaleta!$F$1:$F$504,Q52),IF(Q52&lt;&gt;Q50,TEXT(INDEX(Escaleta!$C$1:$C$504,Q52),"hh:mm")&amp;"–"&amp;TEXT(INDEX(Escaleta!$E$1:$E$504,Q52),"hh:mm"),"")))</f>
        <v/>
      </c>
      <c r="H52" s="49">
        <f>IF(R52=0,"",IF(R52&lt;&gt;R51,INDEX(Escaleta!$F$1:$F$504,R52),IF(R52&lt;&gt;R50,TEXT(INDEX(Escaleta!$C$1:$C$504,R52),"hh:mm")&amp;"–"&amp;TEXT(INDEX(Escaleta!$E$1:$E$504,R52),"hh:mm"),"")))</f>
        <v/>
      </c>
      <c r="I52" s="49">
        <f>IF(S52=0,"",IF(S52&lt;&gt;S51,INDEX(Escaleta!$F$1:$F$504,S52),IF(S52&lt;&gt;S50,TEXT(INDEX(Escaleta!$C$1:$C$504,S52),"hh:mm")&amp;"–"&amp;TEXT(INDEX(Escaleta!$E$1:$E$504,S52),"hh:mm"),"")))</f>
        <v/>
      </c>
      <c r="L52" s="50">
        <f>IF(OR($A52="",B$6=""),0,SUMPRODUCT(MAX((Escaleta!$A$5:$A$504=$B$4)*(Escaleta!$H$5:$H$504=B$6)*(Escaleta!$K$5:$K$504&lt;&gt;"Cancelada")*(Escaleta!$C$5:$C$504&lt;$A52+Configuración!$C$7/1440)*(Escaleta!$E$5:$E$504&gt;$A52)*ROW(Escaleta!$A$5:$A$504))))</f>
        <v/>
      </c>
      <c r="M52" s="50">
        <f>IF(OR($A52="",C$6=""),0,SUMPRODUCT(MAX((Escaleta!$A$5:$A$504=$B$4)*(Escaleta!$H$5:$H$504=C$6)*(Escaleta!$K$5:$K$504&lt;&gt;"Cancelada")*(Escaleta!$C$5:$C$504&lt;$A52+Configuración!$C$7/1440)*(Escaleta!$E$5:$E$504&gt;$A52)*ROW(Escaleta!$A$5:$A$504))))</f>
        <v/>
      </c>
      <c r="N52" s="50">
        <f>IF(OR($A52="",D$6=""),0,SUMPRODUCT(MAX((Escaleta!$A$5:$A$504=$B$4)*(Escaleta!$H$5:$H$504=D$6)*(Escaleta!$K$5:$K$504&lt;&gt;"Cancelada")*(Escaleta!$C$5:$C$504&lt;$A52+Configuración!$C$7/1440)*(Escaleta!$E$5:$E$504&gt;$A52)*ROW(Escaleta!$A$5:$A$504))))</f>
        <v/>
      </c>
      <c r="O52" s="50">
        <f>IF(OR($A52="",E$6=""),0,SUMPRODUCT(MAX((Escaleta!$A$5:$A$504=$B$4)*(Escaleta!$H$5:$H$504=E$6)*(Escaleta!$K$5:$K$504&lt;&gt;"Cancelada")*(Escaleta!$C$5:$C$504&lt;$A52+Configuración!$C$7/1440)*(Escaleta!$E$5:$E$504&gt;$A52)*ROW(Escaleta!$A$5:$A$504))))</f>
        <v/>
      </c>
      <c r="P52" s="50">
        <f>IF(OR($A52="",F$6=""),0,SUMPRODUCT(MAX((Escaleta!$A$5:$A$504=$B$4)*(Escaleta!$H$5:$H$504=F$6)*(Escaleta!$K$5:$K$504&lt;&gt;"Cancelada")*(Escaleta!$C$5:$C$504&lt;$A52+Configuración!$C$7/1440)*(Escaleta!$E$5:$E$504&gt;$A52)*ROW(Escaleta!$A$5:$A$504))))</f>
        <v/>
      </c>
      <c r="Q52" s="50">
        <f>IF(OR($A52="",G$6=""),0,SUMPRODUCT(MAX((Escaleta!$A$5:$A$504=$B$4)*(Escaleta!$H$5:$H$504=G$6)*(Escaleta!$K$5:$K$504&lt;&gt;"Cancelada")*(Escaleta!$C$5:$C$504&lt;$A52+Configuración!$C$7/1440)*(Escaleta!$E$5:$E$504&gt;$A52)*ROW(Escaleta!$A$5:$A$504))))</f>
        <v/>
      </c>
      <c r="R52" s="50">
        <f>IF(OR($A52="",H$6=""),0,SUMPRODUCT(MAX((Escaleta!$A$5:$A$504=$B$4)*(Escaleta!$H$5:$H$504=H$6)*(Escaleta!$K$5:$K$504&lt;&gt;"Cancelada")*(Escaleta!$C$5:$C$504&lt;$A52+Configuración!$C$7/1440)*(Escaleta!$E$5:$E$504&gt;$A52)*ROW(Escaleta!$A$5:$A$504))))</f>
        <v/>
      </c>
      <c r="S52" s="50">
        <f>IF(OR($A52="",I$6=""),0,SUMPRODUCT(MAX((Escaleta!$A$5:$A$504=$B$4)*(Escaleta!$H$5:$H$504=I$6)*(Escaleta!$K$5:$K$504&lt;&gt;"Cancelada")*(Escaleta!$C$5:$C$504&lt;$A52+Configuración!$C$7/1440)*(Escaleta!$E$5:$E$504&gt;$A52)*ROW(Escaleta!$A$5:$A$504))))</f>
        <v/>
      </c>
      <c r="U52" s="50">
        <f>IF(L52=0,"",INDEX(Escaleta!$I$1:$I$504,L52))</f>
        <v/>
      </c>
      <c r="V52" s="50">
        <f>IF(M52=0,"",INDEX(Escaleta!$I$1:$I$504,M52))</f>
        <v/>
      </c>
      <c r="W52" s="50">
        <f>IF(N52=0,"",INDEX(Escaleta!$I$1:$I$504,N52))</f>
        <v/>
      </c>
      <c r="X52" s="50">
        <f>IF(O52=0,"",INDEX(Escaleta!$I$1:$I$504,O52))</f>
        <v/>
      </c>
      <c r="Y52" s="50">
        <f>IF(P52=0,"",INDEX(Escaleta!$I$1:$I$504,P52))</f>
        <v/>
      </c>
      <c r="Z52" s="50">
        <f>IF(Q52=0,"",INDEX(Escaleta!$I$1:$I$504,Q52))</f>
        <v/>
      </c>
      <c r="AA52" s="50">
        <f>IF(R52=0,"",INDEX(Escaleta!$I$1:$I$504,R52))</f>
        <v/>
      </c>
      <c r="AB52" s="50">
        <f>IF(S52=0,"",INDEX(Escaleta!$I$1:$I$504,S52))</f>
        <v/>
      </c>
    </row>
    <row r="53" ht="18" customHeight="1">
      <c r="A53" s="48">
        <f>IF(A52="","",IF(A52+Configuración!$C$7/1440&gt;Configuración!$C$6-0.0001,"",A52+Configuración!$C$7/1440))</f>
        <v/>
      </c>
      <c r="B53" s="49">
        <f>IF(L53=0,"",IF(L53&lt;&gt;L52,INDEX(Escaleta!$F$1:$F$504,L53),IF(L53&lt;&gt;L51,TEXT(INDEX(Escaleta!$C$1:$C$504,L53),"hh:mm")&amp;"–"&amp;TEXT(INDEX(Escaleta!$E$1:$E$504,L53),"hh:mm"),"")))</f>
        <v/>
      </c>
      <c r="C53" s="49">
        <f>IF(M53=0,"",IF(M53&lt;&gt;M52,INDEX(Escaleta!$F$1:$F$504,M53),IF(M53&lt;&gt;M51,TEXT(INDEX(Escaleta!$C$1:$C$504,M53),"hh:mm")&amp;"–"&amp;TEXT(INDEX(Escaleta!$E$1:$E$504,M53),"hh:mm"),"")))</f>
        <v/>
      </c>
      <c r="D53" s="49">
        <f>IF(N53=0,"",IF(N53&lt;&gt;N52,INDEX(Escaleta!$F$1:$F$504,N53),IF(N53&lt;&gt;N51,TEXT(INDEX(Escaleta!$C$1:$C$504,N53),"hh:mm")&amp;"–"&amp;TEXT(INDEX(Escaleta!$E$1:$E$504,N53),"hh:mm"),"")))</f>
        <v/>
      </c>
      <c r="E53" s="49">
        <f>IF(O53=0,"",IF(O53&lt;&gt;O52,INDEX(Escaleta!$F$1:$F$504,O53),IF(O53&lt;&gt;O51,TEXT(INDEX(Escaleta!$C$1:$C$504,O53),"hh:mm")&amp;"–"&amp;TEXT(INDEX(Escaleta!$E$1:$E$504,O53),"hh:mm"),"")))</f>
        <v/>
      </c>
      <c r="F53" s="49">
        <f>IF(P53=0,"",IF(P53&lt;&gt;P52,INDEX(Escaleta!$F$1:$F$504,P53),IF(P53&lt;&gt;P51,TEXT(INDEX(Escaleta!$C$1:$C$504,P53),"hh:mm")&amp;"–"&amp;TEXT(INDEX(Escaleta!$E$1:$E$504,P53),"hh:mm"),"")))</f>
        <v/>
      </c>
      <c r="G53" s="49">
        <f>IF(Q53=0,"",IF(Q53&lt;&gt;Q52,INDEX(Escaleta!$F$1:$F$504,Q53),IF(Q53&lt;&gt;Q51,TEXT(INDEX(Escaleta!$C$1:$C$504,Q53),"hh:mm")&amp;"–"&amp;TEXT(INDEX(Escaleta!$E$1:$E$504,Q53),"hh:mm"),"")))</f>
        <v/>
      </c>
      <c r="H53" s="49">
        <f>IF(R53=0,"",IF(R53&lt;&gt;R52,INDEX(Escaleta!$F$1:$F$504,R53),IF(R53&lt;&gt;R51,TEXT(INDEX(Escaleta!$C$1:$C$504,R53),"hh:mm")&amp;"–"&amp;TEXT(INDEX(Escaleta!$E$1:$E$504,R53),"hh:mm"),"")))</f>
        <v/>
      </c>
      <c r="I53" s="49">
        <f>IF(S53=0,"",IF(S53&lt;&gt;S52,INDEX(Escaleta!$F$1:$F$504,S53),IF(S53&lt;&gt;S51,TEXT(INDEX(Escaleta!$C$1:$C$504,S53),"hh:mm")&amp;"–"&amp;TEXT(INDEX(Escaleta!$E$1:$E$504,S53),"hh:mm"),"")))</f>
        <v/>
      </c>
      <c r="L53" s="50">
        <f>IF(OR($A53="",B$6=""),0,SUMPRODUCT(MAX((Escaleta!$A$5:$A$504=$B$4)*(Escaleta!$H$5:$H$504=B$6)*(Escaleta!$K$5:$K$504&lt;&gt;"Cancelada")*(Escaleta!$C$5:$C$504&lt;$A53+Configuración!$C$7/1440)*(Escaleta!$E$5:$E$504&gt;$A53)*ROW(Escaleta!$A$5:$A$504))))</f>
        <v/>
      </c>
      <c r="M53" s="50">
        <f>IF(OR($A53="",C$6=""),0,SUMPRODUCT(MAX((Escaleta!$A$5:$A$504=$B$4)*(Escaleta!$H$5:$H$504=C$6)*(Escaleta!$K$5:$K$504&lt;&gt;"Cancelada")*(Escaleta!$C$5:$C$504&lt;$A53+Configuración!$C$7/1440)*(Escaleta!$E$5:$E$504&gt;$A53)*ROW(Escaleta!$A$5:$A$504))))</f>
        <v/>
      </c>
      <c r="N53" s="50">
        <f>IF(OR($A53="",D$6=""),0,SUMPRODUCT(MAX((Escaleta!$A$5:$A$504=$B$4)*(Escaleta!$H$5:$H$504=D$6)*(Escaleta!$K$5:$K$504&lt;&gt;"Cancelada")*(Escaleta!$C$5:$C$504&lt;$A53+Configuración!$C$7/1440)*(Escaleta!$E$5:$E$504&gt;$A53)*ROW(Escaleta!$A$5:$A$504))))</f>
        <v/>
      </c>
      <c r="O53" s="50">
        <f>IF(OR($A53="",E$6=""),0,SUMPRODUCT(MAX((Escaleta!$A$5:$A$504=$B$4)*(Escaleta!$H$5:$H$504=E$6)*(Escaleta!$K$5:$K$504&lt;&gt;"Cancelada")*(Escaleta!$C$5:$C$504&lt;$A53+Configuración!$C$7/1440)*(Escaleta!$E$5:$E$504&gt;$A53)*ROW(Escaleta!$A$5:$A$504))))</f>
        <v/>
      </c>
      <c r="P53" s="50">
        <f>IF(OR($A53="",F$6=""),0,SUMPRODUCT(MAX((Escaleta!$A$5:$A$504=$B$4)*(Escaleta!$H$5:$H$504=F$6)*(Escaleta!$K$5:$K$504&lt;&gt;"Cancelada")*(Escaleta!$C$5:$C$504&lt;$A53+Configuración!$C$7/1440)*(Escaleta!$E$5:$E$504&gt;$A53)*ROW(Escaleta!$A$5:$A$504))))</f>
        <v/>
      </c>
      <c r="Q53" s="50">
        <f>IF(OR($A53="",G$6=""),0,SUMPRODUCT(MAX((Escaleta!$A$5:$A$504=$B$4)*(Escaleta!$H$5:$H$504=G$6)*(Escaleta!$K$5:$K$504&lt;&gt;"Cancelada")*(Escaleta!$C$5:$C$504&lt;$A53+Configuración!$C$7/1440)*(Escaleta!$E$5:$E$504&gt;$A53)*ROW(Escaleta!$A$5:$A$504))))</f>
        <v/>
      </c>
      <c r="R53" s="50">
        <f>IF(OR($A53="",H$6=""),0,SUMPRODUCT(MAX((Escaleta!$A$5:$A$504=$B$4)*(Escaleta!$H$5:$H$504=H$6)*(Escaleta!$K$5:$K$504&lt;&gt;"Cancelada")*(Escaleta!$C$5:$C$504&lt;$A53+Configuración!$C$7/1440)*(Escaleta!$E$5:$E$504&gt;$A53)*ROW(Escaleta!$A$5:$A$504))))</f>
        <v/>
      </c>
      <c r="S53" s="50">
        <f>IF(OR($A53="",I$6=""),0,SUMPRODUCT(MAX((Escaleta!$A$5:$A$504=$B$4)*(Escaleta!$H$5:$H$504=I$6)*(Escaleta!$K$5:$K$504&lt;&gt;"Cancelada")*(Escaleta!$C$5:$C$504&lt;$A53+Configuración!$C$7/1440)*(Escaleta!$E$5:$E$504&gt;$A53)*ROW(Escaleta!$A$5:$A$504))))</f>
        <v/>
      </c>
      <c r="U53" s="50">
        <f>IF(L53=0,"",INDEX(Escaleta!$I$1:$I$504,L53))</f>
        <v/>
      </c>
      <c r="V53" s="50">
        <f>IF(M53=0,"",INDEX(Escaleta!$I$1:$I$504,M53))</f>
        <v/>
      </c>
      <c r="W53" s="50">
        <f>IF(N53=0,"",INDEX(Escaleta!$I$1:$I$504,N53))</f>
        <v/>
      </c>
      <c r="X53" s="50">
        <f>IF(O53=0,"",INDEX(Escaleta!$I$1:$I$504,O53))</f>
        <v/>
      </c>
      <c r="Y53" s="50">
        <f>IF(P53=0,"",INDEX(Escaleta!$I$1:$I$504,P53))</f>
        <v/>
      </c>
      <c r="Z53" s="50">
        <f>IF(Q53=0,"",INDEX(Escaleta!$I$1:$I$504,Q53))</f>
        <v/>
      </c>
      <c r="AA53" s="50">
        <f>IF(R53=0,"",INDEX(Escaleta!$I$1:$I$504,R53))</f>
        <v/>
      </c>
      <c r="AB53" s="50">
        <f>IF(S53=0,"",INDEX(Escaleta!$I$1:$I$504,S53))</f>
        <v/>
      </c>
    </row>
    <row r="54" ht="18" customHeight="1">
      <c r="A54" s="48">
        <f>IF(A53="","",IF(A53+Configuración!$C$7/1440&gt;Configuración!$C$6-0.0001,"",A53+Configuración!$C$7/1440))</f>
        <v/>
      </c>
      <c r="B54" s="49">
        <f>IF(L54=0,"",IF(L54&lt;&gt;L53,INDEX(Escaleta!$F$1:$F$504,L54),IF(L54&lt;&gt;L52,TEXT(INDEX(Escaleta!$C$1:$C$504,L54),"hh:mm")&amp;"–"&amp;TEXT(INDEX(Escaleta!$E$1:$E$504,L54),"hh:mm"),"")))</f>
        <v/>
      </c>
      <c r="C54" s="49">
        <f>IF(M54=0,"",IF(M54&lt;&gt;M53,INDEX(Escaleta!$F$1:$F$504,M54),IF(M54&lt;&gt;M52,TEXT(INDEX(Escaleta!$C$1:$C$504,M54),"hh:mm")&amp;"–"&amp;TEXT(INDEX(Escaleta!$E$1:$E$504,M54),"hh:mm"),"")))</f>
        <v/>
      </c>
      <c r="D54" s="49">
        <f>IF(N54=0,"",IF(N54&lt;&gt;N53,INDEX(Escaleta!$F$1:$F$504,N54),IF(N54&lt;&gt;N52,TEXT(INDEX(Escaleta!$C$1:$C$504,N54),"hh:mm")&amp;"–"&amp;TEXT(INDEX(Escaleta!$E$1:$E$504,N54),"hh:mm"),"")))</f>
        <v/>
      </c>
      <c r="E54" s="49">
        <f>IF(O54=0,"",IF(O54&lt;&gt;O53,INDEX(Escaleta!$F$1:$F$504,O54),IF(O54&lt;&gt;O52,TEXT(INDEX(Escaleta!$C$1:$C$504,O54),"hh:mm")&amp;"–"&amp;TEXT(INDEX(Escaleta!$E$1:$E$504,O54),"hh:mm"),"")))</f>
        <v/>
      </c>
      <c r="F54" s="49">
        <f>IF(P54=0,"",IF(P54&lt;&gt;P53,INDEX(Escaleta!$F$1:$F$504,P54),IF(P54&lt;&gt;P52,TEXT(INDEX(Escaleta!$C$1:$C$504,P54),"hh:mm")&amp;"–"&amp;TEXT(INDEX(Escaleta!$E$1:$E$504,P54),"hh:mm"),"")))</f>
        <v/>
      </c>
      <c r="G54" s="49">
        <f>IF(Q54=0,"",IF(Q54&lt;&gt;Q53,INDEX(Escaleta!$F$1:$F$504,Q54),IF(Q54&lt;&gt;Q52,TEXT(INDEX(Escaleta!$C$1:$C$504,Q54),"hh:mm")&amp;"–"&amp;TEXT(INDEX(Escaleta!$E$1:$E$504,Q54),"hh:mm"),"")))</f>
        <v/>
      </c>
      <c r="H54" s="49">
        <f>IF(R54=0,"",IF(R54&lt;&gt;R53,INDEX(Escaleta!$F$1:$F$504,R54),IF(R54&lt;&gt;R52,TEXT(INDEX(Escaleta!$C$1:$C$504,R54),"hh:mm")&amp;"–"&amp;TEXT(INDEX(Escaleta!$E$1:$E$504,R54),"hh:mm"),"")))</f>
        <v/>
      </c>
      <c r="I54" s="49">
        <f>IF(S54=0,"",IF(S54&lt;&gt;S53,INDEX(Escaleta!$F$1:$F$504,S54),IF(S54&lt;&gt;S52,TEXT(INDEX(Escaleta!$C$1:$C$504,S54),"hh:mm")&amp;"–"&amp;TEXT(INDEX(Escaleta!$E$1:$E$504,S54),"hh:mm"),"")))</f>
        <v/>
      </c>
      <c r="L54" s="50">
        <f>IF(OR($A54="",B$6=""),0,SUMPRODUCT(MAX((Escaleta!$A$5:$A$504=$B$4)*(Escaleta!$H$5:$H$504=B$6)*(Escaleta!$K$5:$K$504&lt;&gt;"Cancelada")*(Escaleta!$C$5:$C$504&lt;$A54+Configuración!$C$7/1440)*(Escaleta!$E$5:$E$504&gt;$A54)*ROW(Escaleta!$A$5:$A$504))))</f>
        <v/>
      </c>
      <c r="M54" s="50">
        <f>IF(OR($A54="",C$6=""),0,SUMPRODUCT(MAX((Escaleta!$A$5:$A$504=$B$4)*(Escaleta!$H$5:$H$504=C$6)*(Escaleta!$K$5:$K$504&lt;&gt;"Cancelada")*(Escaleta!$C$5:$C$504&lt;$A54+Configuración!$C$7/1440)*(Escaleta!$E$5:$E$504&gt;$A54)*ROW(Escaleta!$A$5:$A$504))))</f>
        <v/>
      </c>
      <c r="N54" s="50">
        <f>IF(OR($A54="",D$6=""),0,SUMPRODUCT(MAX((Escaleta!$A$5:$A$504=$B$4)*(Escaleta!$H$5:$H$504=D$6)*(Escaleta!$K$5:$K$504&lt;&gt;"Cancelada")*(Escaleta!$C$5:$C$504&lt;$A54+Configuración!$C$7/1440)*(Escaleta!$E$5:$E$504&gt;$A54)*ROW(Escaleta!$A$5:$A$504))))</f>
        <v/>
      </c>
      <c r="O54" s="50">
        <f>IF(OR($A54="",E$6=""),0,SUMPRODUCT(MAX((Escaleta!$A$5:$A$504=$B$4)*(Escaleta!$H$5:$H$504=E$6)*(Escaleta!$K$5:$K$504&lt;&gt;"Cancelada")*(Escaleta!$C$5:$C$504&lt;$A54+Configuración!$C$7/1440)*(Escaleta!$E$5:$E$504&gt;$A54)*ROW(Escaleta!$A$5:$A$504))))</f>
        <v/>
      </c>
      <c r="P54" s="50">
        <f>IF(OR($A54="",F$6=""),0,SUMPRODUCT(MAX((Escaleta!$A$5:$A$504=$B$4)*(Escaleta!$H$5:$H$504=F$6)*(Escaleta!$K$5:$K$504&lt;&gt;"Cancelada")*(Escaleta!$C$5:$C$504&lt;$A54+Configuración!$C$7/1440)*(Escaleta!$E$5:$E$504&gt;$A54)*ROW(Escaleta!$A$5:$A$504))))</f>
        <v/>
      </c>
      <c r="Q54" s="50">
        <f>IF(OR($A54="",G$6=""),0,SUMPRODUCT(MAX((Escaleta!$A$5:$A$504=$B$4)*(Escaleta!$H$5:$H$504=G$6)*(Escaleta!$K$5:$K$504&lt;&gt;"Cancelada")*(Escaleta!$C$5:$C$504&lt;$A54+Configuración!$C$7/1440)*(Escaleta!$E$5:$E$504&gt;$A54)*ROW(Escaleta!$A$5:$A$504))))</f>
        <v/>
      </c>
      <c r="R54" s="50">
        <f>IF(OR($A54="",H$6=""),0,SUMPRODUCT(MAX((Escaleta!$A$5:$A$504=$B$4)*(Escaleta!$H$5:$H$504=H$6)*(Escaleta!$K$5:$K$504&lt;&gt;"Cancelada")*(Escaleta!$C$5:$C$504&lt;$A54+Configuración!$C$7/1440)*(Escaleta!$E$5:$E$504&gt;$A54)*ROW(Escaleta!$A$5:$A$504))))</f>
        <v/>
      </c>
      <c r="S54" s="50">
        <f>IF(OR($A54="",I$6=""),0,SUMPRODUCT(MAX((Escaleta!$A$5:$A$504=$B$4)*(Escaleta!$H$5:$H$504=I$6)*(Escaleta!$K$5:$K$504&lt;&gt;"Cancelada")*(Escaleta!$C$5:$C$504&lt;$A54+Configuración!$C$7/1440)*(Escaleta!$E$5:$E$504&gt;$A54)*ROW(Escaleta!$A$5:$A$504))))</f>
        <v/>
      </c>
      <c r="U54" s="50">
        <f>IF(L54=0,"",INDEX(Escaleta!$I$1:$I$504,L54))</f>
        <v/>
      </c>
      <c r="V54" s="50">
        <f>IF(M54=0,"",INDEX(Escaleta!$I$1:$I$504,M54))</f>
        <v/>
      </c>
      <c r="W54" s="50">
        <f>IF(N54=0,"",INDEX(Escaleta!$I$1:$I$504,N54))</f>
        <v/>
      </c>
      <c r="X54" s="50">
        <f>IF(O54=0,"",INDEX(Escaleta!$I$1:$I$504,O54))</f>
        <v/>
      </c>
      <c r="Y54" s="50">
        <f>IF(P54=0,"",INDEX(Escaleta!$I$1:$I$504,P54))</f>
        <v/>
      </c>
      <c r="Z54" s="50">
        <f>IF(Q54=0,"",INDEX(Escaleta!$I$1:$I$504,Q54))</f>
        <v/>
      </c>
      <c r="AA54" s="50">
        <f>IF(R54=0,"",INDEX(Escaleta!$I$1:$I$504,R54))</f>
        <v/>
      </c>
      <c r="AB54" s="50">
        <f>IF(S54=0,"",INDEX(Escaleta!$I$1:$I$504,S54))</f>
        <v/>
      </c>
    </row>
    <row r="55" ht="18" customHeight="1">
      <c r="A55" s="48">
        <f>IF(A54="","",IF(A54+Configuración!$C$7/1440&gt;Configuración!$C$6-0.0001,"",A54+Configuración!$C$7/1440))</f>
        <v/>
      </c>
      <c r="B55" s="49">
        <f>IF(L55=0,"",IF(L55&lt;&gt;L54,INDEX(Escaleta!$F$1:$F$504,L55),IF(L55&lt;&gt;L53,TEXT(INDEX(Escaleta!$C$1:$C$504,L55),"hh:mm")&amp;"–"&amp;TEXT(INDEX(Escaleta!$E$1:$E$504,L55),"hh:mm"),"")))</f>
        <v/>
      </c>
      <c r="C55" s="49">
        <f>IF(M55=0,"",IF(M55&lt;&gt;M54,INDEX(Escaleta!$F$1:$F$504,M55),IF(M55&lt;&gt;M53,TEXT(INDEX(Escaleta!$C$1:$C$504,M55),"hh:mm")&amp;"–"&amp;TEXT(INDEX(Escaleta!$E$1:$E$504,M55),"hh:mm"),"")))</f>
        <v/>
      </c>
      <c r="D55" s="49">
        <f>IF(N55=0,"",IF(N55&lt;&gt;N54,INDEX(Escaleta!$F$1:$F$504,N55),IF(N55&lt;&gt;N53,TEXT(INDEX(Escaleta!$C$1:$C$504,N55),"hh:mm")&amp;"–"&amp;TEXT(INDEX(Escaleta!$E$1:$E$504,N55),"hh:mm"),"")))</f>
        <v/>
      </c>
      <c r="E55" s="49">
        <f>IF(O55=0,"",IF(O55&lt;&gt;O54,INDEX(Escaleta!$F$1:$F$504,O55),IF(O55&lt;&gt;O53,TEXT(INDEX(Escaleta!$C$1:$C$504,O55),"hh:mm")&amp;"–"&amp;TEXT(INDEX(Escaleta!$E$1:$E$504,O55),"hh:mm"),"")))</f>
        <v/>
      </c>
      <c r="F55" s="49">
        <f>IF(P55=0,"",IF(P55&lt;&gt;P54,INDEX(Escaleta!$F$1:$F$504,P55),IF(P55&lt;&gt;P53,TEXT(INDEX(Escaleta!$C$1:$C$504,P55),"hh:mm")&amp;"–"&amp;TEXT(INDEX(Escaleta!$E$1:$E$504,P55),"hh:mm"),"")))</f>
        <v/>
      </c>
      <c r="G55" s="49">
        <f>IF(Q55=0,"",IF(Q55&lt;&gt;Q54,INDEX(Escaleta!$F$1:$F$504,Q55),IF(Q55&lt;&gt;Q53,TEXT(INDEX(Escaleta!$C$1:$C$504,Q55),"hh:mm")&amp;"–"&amp;TEXT(INDEX(Escaleta!$E$1:$E$504,Q55),"hh:mm"),"")))</f>
        <v/>
      </c>
      <c r="H55" s="49">
        <f>IF(R55=0,"",IF(R55&lt;&gt;R54,INDEX(Escaleta!$F$1:$F$504,R55),IF(R55&lt;&gt;R53,TEXT(INDEX(Escaleta!$C$1:$C$504,R55),"hh:mm")&amp;"–"&amp;TEXT(INDEX(Escaleta!$E$1:$E$504,R55),"hh:mm"),"")))</f>
        <v/>
      </c>
      <c r="I55" s="49">
        <f>IF(S55=0,"",IF(S55&lt;&gt;S54,INDEX(Escaleta!$F$1:$F$504,S55),IF(S55&lt;&gt;S53,TEXT(INDEX(Escaleta!$C$1:$C$504,S55),"hh:mm")&amp;"–"&amp;TEXT(INDEX(Escaleta!$E$1:$E$504,S55),"hh:mm"),"")))</f>
        <v/>
      </c>
      <c r="L55" s="50">
        <f>IF(OR($A55="",B$6=""),0,SUMPRODUCT(MAX((Escaleta!$A$5:$A$504=$B$4)*(Escaleta!$H$5:$H$504=B$6)*(Escaleta!$K$5:$K$504&lt;&gt;"Cancelada")*(Escaleta!$C$5:$C$504&lt;$A55+Configuración!$C$7/1440)*(Escaleta!$E$5:$E$504&gt;$A55)*ROW(Escaleta!$A$5:$A$504))))</f>
        <v/>
      </c>
      <c r="M55" s="50">
        <f>IF(OR($A55="",C$6=""),0,SUMPRODUCT(MAX((Escaleta!$A$5:$A$504=$B$4)*(Escaleta!$H$5:$H$504=C$6)*(Escaleta!$K$5:$K$504&lt;&gt;"Cancelada")*(Escaleta!$C$5:$C$504&lt;$A55+Configuración!$C$7/1440)*(Escaleta!$E$5:$E$504&gt;$A55)*ROW(Escaleta!$A$5:$A$504))))</f>
        <v/>
      </c>
      <c r="N55" s="50">
        <f>IF(OR($A55="",D$6=""),0,SUMPRODUCT(MAX((Escaleta!$A$5:$A$504=$B$4)*(Escaleta!$H$5:$H$504=D$6)*(Escaleta!$K$5:$K$504&lt;&gt;"Cancelada")*(Escaleta!$C$5:$C$504&lt;$A55+Configuración!$C$7/1440)*(Escaleta!$E$5:$E$504&gt;$A55)*ROW(Escaleta!$A$5:$A$504))))</f>
        <v/>
      </c>
      <c r="O55" s="50">
        <f>IF(OR($A55="",E$6=""),0,SUMPRODUCT(MAX((Escaleta!$A$5:$A$504=$B$4)*(Escaleta!$H$5:$H$504=E$6)*(Escaleta!$K$5:$K$504&lt;&gt;"Cancelada")*(Escaleta!$C$5:$C$504&lt;$A55+Configuración!$C$7/1440)*(Escaleta!$E$5:$E$504&gt;$A55)*ROW(Escaleta!$A$5:$A$504))))</f>
        <v/>
      </c>
      <c r="P55" s="50">
        <f>IF(OR($A55="",F$6=""),0,SUMPRODUCT(MAX((Escaleta!$A$5:$A$504=$B$4)*(Escaleta!$H$5:$H$504=F$6)*(Escaleta!$K$5:$K$504&lt;&gt;"Cancelada")*(Escaleta!$C$5:$C$504&lt;$A55+Configuración!$C$7/1440)*(Escaleta!$E$5:$E$504&gt;$A55)*ROW(Escaleta!$A$5:$A$504))))</f>
        <v/>
      </c>
      <c r="Q55" s="50">
        <f>IF(OR($A55="",G$6=""),0,SUMPRODUCT(MAX((Escaleta!$A$5:$A$504=$B$4)*(Escaleta!$H$5:$H$504=G$6)*(Escaleta!$K$5:$K$504&lt;&gt;"Cancelada")*(Escaleta!$C$5:$C$504&lt;$A55+Configuración!$C$7/1440)*(Escaleta!$E$5:$E$504&gt;$A55)*ROW(Escaleta!$A$5:$A$504))))</f>
        <v/>
      </c>
      <c r="R55" s="50">
        <f>IF(OR($A55="",H$6=""),0,SUMPRODUCT(MAX((Escaleta!$A$5:$A$504=$B$4)*(Escaleta!$H$5:$H$504=H$6)*(Escaleta!$K$5:$K$504&lt;&gt;"Cancelada")*(Escaleta!$C$5:$C$504&lt;$A55+Configuración!$C$7/1440)*(Escaleta!$E$5:$E$504&gt;$A55)*ROW(Escaleta!$A$5:$A$504))))</f>
        <v/>
      </c>
      <c r="S55" s="50">
        <f>IF(OR($A55="",I$6=""),0,SUMPRODUCT(MAX((Escaleta!$A$5:$A$504=$B$4)*(Escaleta!$H$5:$H$504=I$6)*(Escaleta!$K$5:$K$504&lt;&gt;"Cancelada")*(Escaleta!$C$5:$C$504&lt;$A55+Configuración!$C$7/1440)*(Escaleta!$E$5:$E$504&gt;$A55)*ROW(Escaleta!$A$5:$A$504))))</f>
        <v/>
      </c>
      <c r="U55" s="50">
        <f>IF(L55=0,"",INDEX(Escaleta!$I$1:$I$504,L55))</f>
        <v/>
      </c>
      <c r="V55" s="50">
        <f>IF(M55=0,"",INDEX(Escaleta!$I$1:$I$504,M55))</f>
        <v/>
      </c>
      <c r="W55" s="50">
        <f>IF(N55=0,"",INDEX(Escaleta!$I$1:$I$504,N55))</f>
        <v/>
      </c>
      <c r="X55" s="50">
        <f>IF(O55=0,"",INDEX(Escaleta!$I$1:$I$504,O55))</f>
        <v/>
      </c>
      <c r="Y55" s="50">
        <f>IF(P55=0,"",INDEX(Escaleta!$I$1:$I$504,P55))</f>
        <v/>
      </c>
      <c r="Z55" s="50">
        <f>IF(Q55=0,"",INDEX(Escaleta!$I$1:$I$504,Q55))</f>
        <v/>
      </c>
      <c r="AA55" s="50">
        <f>IF(R55=0,"",INDEX(Escaleta!$I$1:$I$504,R55))</f>
        <v/>
      </c>
      <c r="AB55" s="50">
        <f>IF(S55=0,"",INDEX(Escaleta!$I$1:$I$504,S55))</f>
        <v/>
      </c>
    </row>
    <row r="56" ht="18" customHeight="1">
      <c r="A56" s="48">
        <f>IF(A55="","",IF(A55+Configuración!$C$7/1440&gt;Configuración!$C$6-0.0001,"",A55+Configuración!$C$7/1440))</f>
        <v/>
      </c>
      <c r="B56" s="49">
        <f>IF(L56=0,"",IF(L56&lt;&gt;L55,INDEX(Escaleta!$F$1:$F$504,L56),IF(L56&lt;&gt;L54,TEXT(INDEX(Escaleta!$C$1:$C$504,L56),"hh:mm")&amp;"–"&amp;TEXT(INDEX(Escaleta!$E$1:$E$504,L56),"hh:mm"),"")))</f>
        <v/>
      </c>
      <c r="C56" s="49">
        <f>IF(M56=0,"",IF(M56&lt;&gt;M55,INDEX(Escaleta!$F$1:$F$504,M56),IF(M56&lt;&gt;M54,TEXT(INDEX(Escaleta!$C$1:$C$504,M56),"hh:mm")&amp;"–"&amp;TEXT(INDEX(Escaleta!$E$1:$E$504,M56),"hh:mm"),"")))</f>
        <v/>
      </c>
      <c r="D56" s="49">
        <f>IF(N56=0,"",IF(N56&lt;&gt;N55,INDEX(Escaleta!$F$1:$F$504,N56),IF(N56&lt;&gt;N54,TEXT(INDEX(Escaleta!$C$1:$C$504,N56),"hh:mm")&amp;"–"&amp;TEXT(INDEX(Escaleta!$E$1:$E$504,N56),"hh:mm"),"")))</f>
        <v/>
      </c>
      <c r="E56" s="49">
        <f>IF(O56=0,"",IF(O56&lt;&gt;O55,INDEX(Escaleta!$F$1:$F$504,O56),IF(O56&lt;&gt;O54,TEXT(INDEX(Escaleta!$C$1:$C$504,O56),"hh:mm")&amp;"–"&amp;TEXT(INDEX(Escaleta!$E$1:$E$504,O56),"hh:mm"),"")))</f>
        <v/>
      </c>
      <c r="F56" s="49">
        <f>IF(P56=0,"",IF(P56&lt;&gt;P55,INDEX(Escaleta!$F$1:$F$504,P56),IF(P56&lt;&gt;P54,TEXT(INDEX(Escaleta!$C$1:$C$504,P56),"hh:mm")&amp;"–"&amp;TEXT(INDEX(Escaleta!$E$1:$E$504,P56),"hh:mm"),"")))</f>
        <v/>
      </c>
      <c r="G56" s="49">
        <f>IF(Q56=0,"",IF(Q56&lt;&gt;Q55,INDEX(Escaleta!$F$1:$F$504,Q56),IF(Q56&lt;&gt;Q54,TEXT(INDEX(Escaleta!$C$1:$C$504,Q56),"hh:mm")&amp;"–"&amp;TEXT(INDEX(Escaleta!$E$1:$E$504,Q56),"hh:mm"),"")))</f>
        <v/>
      </c>
      <c r="H56" s="49">
        <f>IF(R56=0,"",IF(R56&lt;&gt;R55,INDEX(Escaleta!$F$1:$F$504,R56),IF(R56&lt;&gt;R54,TEXT(INDEX(Escaleta!$C$1:$C$504,R56),"hh:mm")&amp;"–"&amp;TEXT(INDEX(Escaleta!$E$1:$E$504,R56),"hh:mm"),"")))</f>
        <v/>
      </c>
      <c r="I56" s="49">
        <f>IF(S56=0,"",IF(S56&lt;&gt;S55,INDEX(Escaleta!$F$1:$F$504,S56),IF(S56&lt;&gt;S54,TEXT(INDEX(Escaleta!$C$1:$C$504,S56),"hh:mm")&amp;"–"&amp;TEXT(INDEX(Escaleta!$E$1:$E$504,S56),"hh:mm"),"")))</f>
        <v/>
      </c>
      <c r="L56" s="50">
        <f>IF(OR($A56="",B$6=""),0,SUMPRODUCT(MAX((Escaleta!$A$5:$A$504=$B$4)*(Escaleta!$H$5:$H$504=B$6)*(Escaleta!$K$5:$K$504&lt;&gt;"Cancelada")*(Escaleta!$C$5:$C$504&lt;$A56+Configuración!$C$7/1440)*(Escaleta!$E$5:$E$504&gt;$A56)*ROW(Escaleta!$A$5:$A$504))))</f>
        <v/>
      </c>
      <c r="M56" s="50">
        <f>IF(OR($A56="",C$6=""),0,SUMPRODUCT(MAX((Escaleta!$A$5:$A$504=$B$4)*(Escaleta!$H$5:$H$504=C$6)*(Escaleta!$K$5:$K$504&lt;&gt;"Cancelada")*(Escaleta!$C$5:$C$504&lt;$A56+Configuración!$C$7/1440)*(Escaleta!$E$5:$E$504&gt;$A56)*ROW(Escaleta!$A$5:$A$504))))</f>
        <v/>
      </c>
      <c r="N56" s="50">
        <f>IF(OR($A56="",D$6=""),0,SUMPRODUCT(MAX((Escaleta!$A$5:$A$504=$B$4)*(Escaleta!$H$5:$H$504=D$6)*(Escaleta!$K$5:$K$504&lt;&gt;"Cancelada")*(Escaleta!$C$5:$C$504&lt;$A56+Configuración!$C$7/1440)*(Escaleta!$E$5:$E$504&gt;$A56)*ROW(Escaleta!$A$5:$A$504))))</f>
        <v/>
      </c>
      <c r="O56" s="50">
        <f>IF(OR($A56="",E$6=""),0,SUMPRODUCT(MAX((Escaleta!$A$5:$A$504=$B$4)*(Escaleta!$H$5:$H$504=E$6)*(Escaleta!$K$5:$K$504&lt;&gt;"Cancelada")*(Escaleta!$C$5:$C$504&lt;$A56+Configuración!$C$7/1440)*(Escaleta!$E$5:$E$504&gt;$A56)*ROW(Escaleta!$A$5:$A$504))))</f>
        <v/>
      </c>
      <c r="P56" s="50">
        <f>IF(OR($A56="",F$6=""),0,SUMPRODUCT(MAX((Escaleta!$A$5:$A$504=$B$4)*(Escaleta!$H$5:$H$504=F$6)*(Escaleta!$K$5:$K$504&lt;&gt;"Cancelada")*(Escaleta!$C$5:$C$504&lt;$A56+Configuración!$C$7/1440)*(Escaleta!$E$5:$E$504&gt;$A56)*ROW(Escaleta!$A$5:$A$504))))</f>
        <v/>
      </c>
      <c r="Q56" s="50">
        <f>IF(OR($A56="",G$6=""),0,SUMPRODUCT(MAX((Escaleta!$A$5:$A$504=$B$4)*(Escaleta!$H$5:$H$504=G$6)*(Escaleta!$K$5:$K$504&lt;&gt;"Cancelada")*(Escaleta!$C$5:$C$504&lt;$A56+Configuración!$C$7/1440)*(Escaleta!$E$5:$E$504&gt;$A56)*ROW(Escaleta!$A$5:$A$504))))</f>
        <v/>
      </c>
      <c r="R56" s="50">
        <f>IF(OR($A56="",H$6=""),0,SUMPRODUCT(MAX((Escaleta!$A$5:$A$504=$B$4)*(Escaleta!$H$5:$H$504=H$6)*(Escaleta!$K$5:$K$504&lt;&gt;"Cancelada")*(Escaleta!$C$5:$C$504&lt;$A56+Configuración!$C$7/1440)*(Escaleta!$E$5:$E$504&gt;$A56)*ROW(Escaleta!$A$5:$A$504))))</f>
        <v/>
      </c>
      <c r="S56" s="50">
        <f>IF(OR($A56="",I$6=""),0,SUMPRODUCT(MAX((Escaleta!$A$5:$A$504=$B$4)*(Escaleta!$H$5:$H$504=I$6)*(Escaleta!$K$5:$K$504&lt;&gt;"Cancelada")*(Escaleta!$C$5:$C$504&lt;$A56+Configuración!$C$7/1440)*(Escaleta!$E$5:$E$504&gt;$A56)*ROW(Escaleta!$A$5:$A$504))))</f>
        <v/>
      </c>
      <c r="U56" s="50">
        <f>IF(L56=0,"",INDEX(Escaleta!$I$1:$I$504,L56))</f>
        <v/>
      </c>
      <c r="V56" s="50">
        <f>IF(M56=0,"",INDEX(Escaleta!$I$1:$I$504,M56))</f>
        <v/>
      </c>
      <c r="W56" s="50">
        <f>IF(N56=0,"",INDEX(Escaleta!$I$1:$I$504,N56))</f>
        <v/>
      </c>
      <c r="X56" s="50">
        <f>IF(O56=0,"",INDEX(Escaleta!$I$1:$I$504,O56))</f>
        <v/>
      </c>
      <c r="Y56" s="50">
        <f>IF(P56=0,"",INDEX(Escaleta!$I$1:$I$504,P56))</f>
        <v/>
      </c>
      <c r="Z56" s="50">
        <f>IF(Q56=0,"",INDEX(Escaleta!$I$1:$I$504,Q56))</f>
        <v/>
      </c>
      <c r="AA56" s="50">
        <f>IF(R56=0,"",INDEX(Escaleta!$I$1:$I$504,R56))</f>
        <v/>
      </c>
      <c r="AB56" s="50">
        <f>IF(S56=0,"",INDEX(Escaleta!$I$1:$I$504,S56))</f>
        <v/>
      </c>
    </row>
    <row r="57" ht="18" customHeight="1">
      <c r="A57" s="48">
        <f>IF(A56="","",IF(A56+Configuración!$C$7/1440&gt;Configuración!$C$6-0.0001,"",A56+Configuración!$C$7/1440))</f>
        <v/>
      </c>
      <c r="B57" s="49">
        <f>IF(L57=0,"",IF(L57&lt;&gt;L56,INDEX(Escaleta!$F$1:$F$504,L57),IF(L57&lt;&gt;L55,TEXT(INDEX(Escaleta!$C$1:$C$504,L57),"hh:mm")&amp;"–"&amp;TEXT(INDEX(Escaleta!$E$1:$E$504,L57),"hh:mm"),"")))</f>
        <v/>
      </c>
      <c r="C57" s="49">
        <f>IF(M57=0,"",IF(M57&lt;&gt;M56,INDEX(Escaleta!$F$1:$F$504,M57),IF(M57&lt;&gt;M55,TEXT(INDEX(Escaleta!$C$1:$C$504,M57),"hh:mm")&amp;"–"&amp;TEXT(INDEX(Escaleta!$E$1:$E$504,M57),"hh:mm"),"")))</f>
        <v/>
      </c>
      <c r="D57" s="49">
        <f>IF(N57=0,"",IF(N57&lt;&gt;N56,INDEX(Escaleta!$F$1:$F$504,N57),IF(N57&lt;&gt;N55,TEXT(INDEX(Escaleta!$C$1:$C$504,N57),"hh:mm")&amp;"–"&amp;TEXT(INDEX(Escaleta!$E$1:$E$504,N57),"hh:mm"),"")))</f>
        <v/>
      </c>
      <c r="E57" s="49">
        <f>IF(O57=0,"",IF(O57&lt;&gt;O56,INDEX(Escaleta!$F$1:$F$504,O57),IF(O57&lt;&gt;O55,TEXT(INDEX(Escaleta!$C$1:$C$504,O57),"hh:mm")&amp;"–"&amp;TEXT(INDEX(Escaleta!$E$1:$E$504,O57),"hh:mm"),"")))</f>
        <v/>
      </c>
      <c r="F57" s="49">
        <f>IF(P57=0,"",IF(P57&lt;&gt;P56,INDEX(Escaleta!$F$1:$F$504,P57),IF(P57&lt;&gt;P55,TEXT(INDEX(Escaleta!$C$1:$C$504,P57),"hh:mm")&amp;"–"&amp;TEXT(INDEX(Escaleta!$E$1:$E$504,P57),"hh:mm"),"")))</f>
        <v/>
      </c>
      <c r="G57" s="49">
        <f>IF(Q57=0,"",IF(Q57&lt;&gt;Q56,INDEX(Escaleta!$F$1:$F$504,Q57),IF(Q57&lt;&gt;Q55,TEXT(INDEX(Escaleta!$C$1:$C$504,Q57),"hh:mm")&amp;"–"&amp;TEXT(INDEX(Escaleta!$E$1:$E$504,Q57),"hh:mm"),"")))</f>
        <v/>
      </c>
      <c r="H57" s="49">
        <f>IF(R57=0,"",IF(R57&lt;&gt;R56,INDEX(Escaleta!$F$1:$F$504,R57),IF(R57&lt;&gt;R55,TEXT(INDEX(Escaleta!$C$1:$C$504,R57),"hh:mm")&amp;"–"&amp;TEXT(INDEX(Escaleta!$E$1:$E$504,R57),"hh:mm"),"")))</f>
        <v/>
      </c>
      <c r="I57" s="49">
        <f>IF(S57=0,"",IF(S57&lt;&gt;S56,INDEX(Escaleta!$F$1:$F$504,S57),IF(S57&lt;&gt;S55,TEXT(INDEX(Escaleta!$C$1:$C$504,S57),"hh:mm")&amp;"–"&amp;TEXT(INDEX(Escaleta!$E$1:$E$504,S57),"hh:mm"),"")))</f>
        <v/>
      </c>
      <c r="L57" s="50">
        <f>IF(OR($A57="",B$6=""),0,SUMPRODUCT(MAX((Escaleta!$A$5:$A$504=$B$4)*(Escaleta!$H$5:$H$504=B$6)*(Escaleta!$K$5:$K$504&lt;&gt;"Cancelada")*(Escaleta!$C$5:$C$504&lt;$A57+Configuración!$C$7/1440)*(Escaleta!$E$5:$E$504&gt;$A57)*ROW(Escaleta!$A$5:$A$504))))</f>
        <v/>
      </c>
      <c r="M57" s="50">
        <f>IF(OR($A57="",C$6=""),0,SUMPRODUCT(MAX((Escaleta!$A$5:$A$504=$B$4)*(Escaleta!$H$5:$H$504=C$6)*(Escaleta!$K$5:$K$504&lt;&gt;"Cancelada")*(Escaleta!$C$5:$C$504&lt;$A57+Configuración!$C$7/1440)*(Escaleta!$E$5:$E$504&gt;$A57)*ROW(Escaleta!$A$5:$A$504))))</f>
        <v/>
      </c>
      <c r="N57" s="50">
        <f>IF(OR($A57="",D$6=""),0,SUMPRODUCT(MAX((Escaleta!$A$5:$A$504=$B$4)*(Escaleta!$H$5:$H$504=D$6)*(Escaleta!$K$5:$K$504&lt;&gt;"Cancelada")*(Escaleta!$C$5:$C$504&lt;$A57+Configuración!$C$7/1440)*(Escaleta!$E$5:$E$504&gt;$A57)*ROW(Escaleta!$A$5:$A$504))))</f>
        <v/>
      </c>
      <c r="O57" s="50">
        <f>IF(OR($A57="",E$6=""),0,SUMPRODUCT(MAX((Escaleta!$A$5:$A$504=$B$4)*(Escaleta!$H$5:$H$504=E$6)*(Escaleta!$K$5:$K$504&lt;&gt;"Cancelada")*(Escaleta!$C$5:$C$504&lt;$A57+Configuración!$C$7/1440)*(Escaleta!$E$5:$E$504&gt;$A57)*ROW(Escaleta!$A$5:$A$504))))</f>
        <v/>
      </c>
      <c r="P57" s="50">
        <f>IF(OR($A57="",F$6=""),0,SUMPRODUCT(MAX((Escaleta!$A$5:$A$504=$B$4)*(Escaleta!$H$5:$H$504=F$6)*(Escaleta!$K$5:$K$504&lt;&gt;"Cancelada")*(Escaleta!$C$5:$C$504&lt;$A57+Configuración!$C$7/1440)*(Escaleta!$E$5:$E$504&gt;$A57)*ROW(Escaleta!$A$5:$A$504))))</f>
        <v/>
      </c>
      <c r="Q57" s="50">
        <f>IF(OR($A57="",G$6=""),0,SUMPRODUCT(MAX((Escaleta!$A$5:$A$504=$B$4)*(Escaleta!$H$5:$H$504=G$6)*(Escaleta!$K$5:$K$504&lt;&gt;"Cancelada")*(Escaleta!$C$5:$C$504&lt;$A57+Configuración!$C$7/1440)*(Escaleta!$E$5:$E$504&gt;$A57)*ROW(Escaleta!$A$5:$A$504))))</f>
        <v/>
      </c>
      <c r="R57" s="50">
        <f>IF(OR($A57="",H$6=""),0,SUMPRODUCT(MAX((Escaleta!$A$5:$A$504=$B$4)*(Escaleta!$H$5:$H$504=H$6)*(Escaleta!$K$5:$K$504&lt;&gt;"Cancelada")*(Escaleta!$C$5:$C$504&lt;$A57+Configuración!$C$7/1440)*(Escaleta!$E$5:$E$504&gt;$A57)*ROW(Escaleta!$A$5:$A$504))))</f>
        <v/>
      </c>
      <c r="S57" s="50">
        <f>IF(OR($A57="",I$6=""),0,SUMPRODUCT(MAX((Escaleta!$A$5:$A$504=$B$4)*(Escaleta!$H$5:$H$504=I$6)*(Escaleta!$K$5:$K$504&lt;&gt;"Cancelada")*(Escaleta!$C$5:$C$504&lt;$A57+Configuración!$C$7/1440)*(Escaleta!$E$5:$E$504&gt;$A57)*ROW(Escaleta!$A$5:$A$504))))</f>
        <v/>
      </c>
      <c r="U57" s="50">
        <f>IF(L57=0,"",INDEX(Escaleta!$I$1:$I$504,L57))</f>
        <v/>
      </c>
      <c r="V57" s="50">
        <f>IF(M57=0,"",INDEX(Escaleta!$I$1:$I$504,M57))</f>
        <v/>
      </c>
      <c r="W57" s="50">
        <f>IF(N57=0,"",INDEX(Escaleta!$I$1:$I$504,N57))</f>
        <v/>
      </c>
      <c r="X57" s="50">
        <f>IF(O57=0,"",INDEX(Escaleta!$I$1:$I$504,O57))</f>
        <v/>
      </c>
      <c r="Y57" s="50">
        <f>IF(P57=0,"",INDEX(Escaleta!$I$1:$I$504,P57))</f>
        <v/>
      </c>
      <c r="Z57" s="50">
        <f>IF(Q57=0,"",INDEX(Escaleta!$I$1:$I$504,Q57))</f>
        <v/>
      </c>
      <c r="AA57" s="50">
        <f>IF(R57=0,"",INDEX(Escaleta!$I$1:$I$504,R57))</f>
        <v/>
      </c>
      <c r="AB57" s="50">
        <f>IF(S57=0,"",INDEX(Escaleta!$I$1:$I$504,S57))</f>
        <v/>
      </c>
    </row>
    <row r="58" ht="18" customHeight="1">
      <c r="A58" s="48">
        <f>IF(A57="","",IF(A57+Configuración!$C$7/1440&gt;Configuración!$C$6-0.0001,"",A57+Configuración!$C$7/1440))</f>
        <v/>
      </c>
      <c r="B58" s="49">
        <f>IF(L58=0,"",IF(L58&lt;&gt;L57,INDEX(Escaleta!$F$1:$F$504,L58),IF(L58&lt;&gt;L56,TEXT(INDEX(Escaleta!$C$1:$C$504,L58),"hh:mm")&amp;"–"&amp;TEXT(INDEX(Escaleta!$E$1:$E$504,L58),"hh:mm"),"")))</f>
        <v/>
      </c>
      <c r="C58" s="49">
        <f>IF(M58=0,"",IF(M58&lt;&gt;M57,INDEX(Escaleta!$F$1:$F$504,M58),IF(M58&lt;&gt;M56,TEXT(INDEX(Escaleta!$C$1:$C$504,M58),"hh:mm")&amp;"–"&amp;TEXT(INDEX(Escaleta!$E$1:$E$504,M58),"hh:mm"),"")))</f>
        <v/>
      </c>
      <c r="D58" s="49">
        <f>IF(N58=0,"",IF(N58&lt;&gt;N57,INDEX(Escaleta!$F$1:$F$504,N58),IF(N58&lt;&gt;N56,TEXT(INDEX(Escaleta!$C$1:$C$504,N58),"hh:mm")&amp;"–"&amp;TEXT(INDEX(Escaleta!$E$1:$E$504,N58),"hh:mm"),"")))</f>
        <v/>
      </c>
      <c r="E58" s="49">
        <f>IF(O58=0,"",IF(O58&lt;&gt;O57,INDEX(Escaleta!$F$1:$F$504,O58),IF(O58&lt;&gt;O56,TEXT(INDEX(Escaleta!$C$1:$C$504,O58),"hh:mm")&amp;"–"&amp;TEXT(INDEX(Escaleta!$E$1:$E$504,O58),"hh:mm"),"")))</f>
        <v/>
      </c>
      <c r="F58" s="49">
        <f>IF(P58=0,"",IF(P58&lt;&gt;P57,INDEX(Escaleta!$F$1:$F$504,P58),IF(P58&lt;&gt;P56,TEXT(INDEX(Escaleta!$C$1:$C$504,P58),"hh:mm")&amp;"–"&amp;TEXT(INDEX(Escaleta!$E$1:$E$504,P58),"hh:mm"),"")))</f>
        <v/>
      </c>
      <c r="G58" s="49">
        <f>IF(Q58=0,"",IF(Q58&lt;&gt;Q57,INDEX(Escaleta!$F$1:$F$504,Q58),IF(Q58&lt;&gt;Q56,TEXT(INDEX(Escaleta!$C$1:$C$504,Q58),"hh:mm")&amp;"–"&amp;TEXT(INDEX(Escaleta!$E$1:$E$504,Q58),"hh:mm"),"")))</f>
        <v/>
      </c>
      <c r="H58" s="49">
        <f>IF(R58=0,"",IF(R58&lt;&gt;R57,INDEX(Escaleta!$F$1:$F$504,R58),IF(R58&lt;&gt;R56,TEXT(INDEX(Escaleta!$C$1:$C$504,R58),"hh:mm")&amp;"–"&amp;TEXT(INDEX(Escaleta!$E$1:$E$504,R58),"hh:mm"),"")))</f>
        <v/>
      </c>
      <c r="I58" s="49">
        <f>IF(S58=0,"",IF(S58&lt;&gt;S57,INDEX(Escaleta!$F$1:$F$504,S58),IF(S58&lt;&gt;S56,TEXT(INDEX(Escaleta!$C$1:$C$504,S58),"hh:mm")&amp;"–"&amp;TEXT(INDEX(Escaleta!$E$1:$E$504,S58),"hh:mm"),"")))</f>
        <v/>
      </c>
      <c r="L58" s="50">
        <f>IF(OR($A58="",B$6=""),0,SUMPRODUCT(MAX((Escaleta!$A$5:$A$504=$B$4)*(Escaleta!$H$5:$H$504=B$6)*(Escaleta!$K$5:$K$504&lt;&gt;"Cancelada")*(Escaleta!$C$5:$C$504&lt;$A58+Configuración!$C$7/1440)*(Escaleta!$E$5:$E$504&gt;$A58)*ROW(Escaleta!$A$5:$A$504))))</f>
        <v/>
      </c>
      <c r="M58" s="50">
        <f>IF(OR($A58="",C$6=""),0,SUMPRODUCT(MAX((Escaleta!$A$5:$A$504=$B$4)*(Escaleta!$H$5:$H$504=C$6)*(Escaleta!$K$5:$K$504&lt;&gt;"Cancelada")*(Escaleta!$C$5:$C$504&lt;$A58+Configuración!$C$7/1440)*(Escaleta!$E$5:$E$504&gt;$A58)*ROW(Escaleta!$A$5:$A$504))))</f>
        <v/>
      </c>
      <c r="N58" s="50">
        <f>IF(OR($A58="",D$6=""),0,SUMPRODUCT(MAX((Escaleta!$A$5:$A$504=$B$4)*(Escaleta!$H$5:$H$504=D$6)*(Escaleta!$K$5:$K$504&lt;&gt;"Cancelada")*(Escaleta!$C$5:$C$504&lt;$A58+Configuración!$C$7/1440)*(Escaleta!$E$5:$E$504&gt;$A58)*ROW(Escaleta!$A$5:$A$504))))</f>
        <v/>
      </c>
      <c r="O58" s="50">
        <f>IF(OR($A58="",E$6=""),0,SUMPRODUCT(MAX((Escaleta!$A$5:$A$504=$B$4)*(Escaleta!$H$5:$H$504=E$6)*(Escaleta!$K$5:$K$504&lt;&gt;"Cancelada")*(Escaleta!$C$5:$C$504&lt;$A58+Configuración!$C$7/1440)*(Escaleta!$E$5:$E$504&gt;$A58)*ROW(Escaleta!$A$5:$A$504))))</f>
        <v/>
      </c>
      <c r="P58" s="50">
        <f>IF(OR($A58="",F$6=""),0,SUMPRODUCT(MAX((Escaleta!$A$5:$A$504=$B$4)*(Escaleta!$H$5:$H$504=F$6)*(Escaleta!$K$5:$K$504&lt;&gt;"Cancelada")*(Escaleta!$C$5:$C$504&lt;$A58+Configuración!$C$7/1440)*(Escaleta!$E$5:$E$504&gt;$A58)*ROW(Escaleta!$A$5:$A$504))))</f>
        <v/>
      </c>
      <c r="Q58" s="50">
        <f>IF(OR($A58="",G$6=""),0,SUMPRODUCT(MAX((Escaleta!$A$5:$A$504=$B$4)*(Escaleta!$H$5:$H$504=G$6)*(Escaleta!$K$5:$K$504&lt;&gt;"Cancelada")*(Escaleta!$C$5:$C$504&lt;$A58+Configuración!$C$7/1440)*(Escaleta!$E$5:$E$504&gt;$A58)*ROW(Escaleta!$A$5:$A$504))))</f>
        <v/>
      </c>
      <c r="R58" s="50">
        <f>IF(OR($A58="",H$6=""),0,SUMPRODUCT(MAX((Escaleta!$A$5:$A$504=$B$4)*(Escaleta!$H$5:$H$504=H$6)*(Escaleta!$K$5:$K$504&lt;&gt;"Cancelada")*(Escaleta!$C$5:$C$504&lt;$A58+Configuración!$C$7/1440)*(Escaleta!$E$5:$E$504&gt;$A58)*ROW(Escaleta!$A$5:$A$504))))</f>
        <v/>
      </c>
      <c r="S58" s="50">
        <f>IF(OR($A58="",I$6=""),0,SUMPRODUCT(MAX((Escaleta!$A$5:$A$504=$B$4)*(Escaleta!$H$5:$H$504=I$6)*(Escaleta!$K$5:$K$504&lt;&gt;"Cancelada")*(Escaleta!$C$5:$C$504&lt;$A58+Configuración!$C$7/1440)*(Escaleta!$E$5:$E$504&gt;$A58)*ROW(Escaleta!$A$5:$A$504))))</f>
        <v/>
      </c>
      <c r="U58" s="50">
        <f>IF(L58=0,"",INDEX(Escaleta!$I$1:$I$504,L58))</f>
        <v/>
      </c>
      <c r="V58" s="50">
        <f>IF(M58=0,"",INDEX(Escaleta!$I$1:$I$504,M58))</f>
        <v/>
      </c>
      <c r="W58" s="50">
        <f>IF(N58=0,"",INDEX(Escaleta!$I$1:$I$504,N58))</f>
        <v/>
      </c>
      <c r="X58" s="50">
        <f>IF(O58=0,"",INDEX(Escaleta!$I$1:$I$504,O58))</f>
        <v/>
      </c>
      <c r="Y58" s="50">
        <f>IF(P58=0,"",INDEX(Escaleta!$I$1:$I$504,P58))</f>
        <v/>
      </c>
      <c r="Z58" s="50">
        <f>IF(Q58=0,"",INDEX(Escaleta!$I$1:$I$504,Q58))</f>
        <v/>
      </c>
      <c r="AA58" s="50">
        <f>IF(R58=0,"",INDEX(Escaleta!$I$1:$I$504,R58))</f>
        <v/>
      </c>
      <c r="AB58" s="50">
        <f>IF(S58=0,"",INDEX(Escaleta!$I$1:$I$504,S58))</f>
        <v/>
      </c>
    </row>
    <row r="59" ht="18" customHeight="1">
      <c r="A59" s="48">
        <f>IF(A58="","",IF(A58+Configuración!$C$7/1440&gt;Configuración!$C$6-0.0001,"",A58+Configuración!$C$7/1440))</f>
        <v/>
      </c>
      <c r="B59" s="49">
        <f>IF(L59=0,"",IF(L59&lt;&gt;L58,INDEX(Escaleta!$F$1:$F$504,L59),IF(L59&lt;&gt;L57,TEXT(INDEX(Escaleta!$C$1:$C$504,L59),"hh:mm")&amp;"–"&amp;TEXT(INDEX(Escaleta!$E$1:$E$504,L59),"hh:mm"),"")))</f>
        <v/>
      </c>
      <c r="C59" s="49">
        <f>IF(M59=0,"",IF(M59&lt;&gt;M58,INDEX(Escaleta!$F$1:$F$504,M59),IF(M59&lt;&gt;M57,TEXT(INDEX(Escaleta!$C$1:$C$504,M59),"hh:mm")&amp;"–"&amp;TEXT(INDEX(Escaleta!$E$1:$E$504,M59),"hh:mm"),"")))</f>
        <v/>
      </c>
      <c r="D59" s="49">
        <f>IF(N59=0,"",IF(N59&lt;&gt;N58,INDEX(Escaleta!$F$1:$F$504,N59),IF(N59&lt;&gt;N57,TEXT(INDEX(Escaleta!$C$1:$C$504,N59),"hh:mm")&amp;"–"&amp;TEXT(INDEX(Escaleta!$E$1:$E$504,N59),"hh:mm"),"")))</f>
        <v/>
      </c>
      <c r="E59" s="49">
        <f>IF(O59=0,"",IF(O59&lt;&gt;O58,INDEX(Escaleta!$F$1:$F$504,O59),IF(O59&lt;&gt;O57,TEXT(INDEX(Escaleta!$C$1:$C$504,O59),"hh:mm")&amp;"–"&amp;TEXT(INDEX(Escaleta!$E$1:$E$504,O59),"hh:mm"),"")))</f>
        <v/>
      </c>
      <c r="F59" s="49">
        <f>IF(P59=0,"",IF(P59&lt;&gt;P58,INDEX(Escaleta!$F$1:$F$504,P59),IF(P59&lt;&gt;P57,TEXT(INDEX(Escaleta!$C$1:$C$504,P59),"hh:mm")&amp;"–"&amp;TEXT(INDEX(Escaleta!$E$1:$E$504,P59),"hh:mm"),"")))</f>
        <v/>
      </c>
      <c r="G59" s="49">
        <f>IF(Q59=0,"",IF(Q59&lt;&gt;Q58,INDEX(Escaleta!$F$1:$F$504,Q59),IF(Q59&lt;&gt;Q57,TEXT(INDEX(Escaleta!$C$1:$C$504,Q59),"hh:mm")&amp;"–"&amp;TEXT(INDEX(Escaleta!$E$1:$E$504,Q59),"hh:mm"),"")))</f>
        <v/>
      </c>
      <c r="H59" s="49">
        <f>IF(R59=0,"",IF(R59&lt;&gt;R58,INDEX(Escaleta!$F$1:$F$504,R59),IF(R59&lt;&gt;R57,TEXT(INDEX(Escaleta!$C$1:$C$504,R59),"hh:mm")&amp;"–"&amp;TEXT(INDEX(Escaleta!$E$1:$E$504,R59),"hh:mm"),"")))</f>
        <v/>
      </c>
      <c r="I59" s="49">
        <f>IF(S59=0,"",IF(S59&lt;&gt;S58,INDEX(Escaleta!$F$1:$F$504,S59),IF(S59&lt;&gt;S57,TEXT(INDEX(Escaleta!$C$1:$C$504,S59),"hh:mm")&amp;"–"&amp;TEXT(INDEX(Escaleta!$E$1:$E$504,S59),"hh:mm"),"")))</f>
        <v/>
      </c>
      <c r="L59" s="50">
        <f>IF(OR($A59="",B$6=""),0,SUMPRODUCT(MAX((Escaleta!$A$5:$A$504=$B$4)*(Escaleta!$H$5:$H$504=B$6)*(Escaleta!$K$5:$K$504&lt;&gt;"Cancelada")*(Escaleta!$C$5:$C$504&lt;$A59+Configuración!$C$7/1440)*(Escaleta!$E$5:$E$504&gt;$A59)*ROW(Escaleta!$A$5:$A$504))))</f>
        <v/>
      </c>
      <c r="M59" s="50">
        <f>IF(OR($A59="",C$6=""),0,SUMPRODUCT(MAX((Escaleta!$A$5:$A$504=$B$4)*(Escaleta!$H$5:$H$504=C$6)*(Escaleta!$K$5:$K$504&lt;&gt;"Cancelada")*(Escaleta!$C$5:$C$504&lt;$A59+Configuración!$C$7/1440)*(Escaleta!$E$5:$E$504&gt;$A59)*ROW(Escaleta!$A$5:$A$504))))</f>
        <v/>
      </c>
      <c r="N59" s="50">
        <f>IF(OR($A59="",D$6=""),0,SUMPRODUCT(MAX((Escaleta!$A$5:$A$504=$B$4)*(Escaleta!$H$5:$H$504=D$6)*(Escaleta!$K$5:$K$504&lt;&gt;"Cancelada")*(Escaleta!$C$5:$C$504&lt;$A59+Configuración!$C$7/1440)*(Escaleta!$E$5:$E$504&gt;$A59)*ROW(Escaleta!$A$5:$A$504))))</f>
        <v/>
      </c>
      <c r="O59" s="50">
        <f>IF(OR($A59="",E$6=""),0,SUMPRODUCT(MAX((Escaleta!$A$5:$A$504=$B$4)*(Escaleta!$H$5:$H$504=E$6)*(Escaleta!$K$5:$K$504&lt;&gt;"Cancelada")*(Escaleta!$C$5:$C$504&lt;$A59+Configuración!$C$7/1440)*(Escaleta!$E$5:$E$504&gt;$A59)*ROW(Escaleta!$A$5:$A$504))))</f>
        <v/>
      </c>
      <c r="P59" s="50">
        <f>IF(OR($A59="",F$6=""),0,SUMPRODUCT(MAX((Escaleta!$A$5:$A$504=$B$4)*(Escaleta!$H$5:$H$504=F$6)*(Escaleta!$K$5:$K$504&lt;&gt;"Cancelada")*(Escaleta!$C$5:$C$504&lt;$A59+Configuración!$C$7/1440)*(Escaleta!$E$5:$E$504&gt;$A59)*ROW(Escaleta!$A$5:$A$504))))</f>
        <v/>
      </c>
      <c r="Q59" s="50">
        <f>IF(OR($A59="",G$6=""),0,SUMPRODUCT(MAX((Escaleta!$A$5:$A$504=$B$4)*(Escaleta!$H$5:$H$504=G$6)*(Escaleta!$K$5:$K$504&lt;&gt;"Cancelada")*(Escaleta!$C$5:$C$504&lt;$A59+Configuración!$C$7/1440)*(Escaleta!$E$5:$E$504&gt;$A59)*ROW(Escaleta!$A$5:$A$504))))</f>
        <v/>
      </c>
      <c r="R59" s="50">
        <f>IF(OR($A59="",H$6=""),0,SUMPRODUCT(MAX((Escaleta!$A$5:$A$504=$B$4)*(Escaleta!$H$5:$H$504=H$6)*(Escaleta!$K$5:$K$504&lt;&gt;"Cancelada")*(Escaleta!$C$5:$C$504&lt;$A59+Configuración!$C$7/1440)*(Escaleta!$E$5:$E$504&gt;$A59)*ROW(Escaleta!$A$5:$A$504))))</f>
        <v/>
      </c>
      <c r="S59" s="50">
        <f>IF(OR($A59="",I$6=""),0,SUMPRODUCT(MAX((Escaleta!$A$5:$A$504=$B$4)*(Escaleta!$H$5:$H$504=I$6)*(Escaleta!$K$5:$K$504&lt;&gt;"Cancelada")*(Escaleta!$C$5:$C$504&lt;$A59+Configuración!$C$7/1440)*(Escaleta!$E$5:$E$504&gt;$A59)*ROW(Escaleta!$A$5:$A$504))))</f>
        <v/>
      </c>
      <c r="U59" s="50">
        <f>IF(L59=0,"",INDEX(Escaleta!$I$1:$I$504,L59))</f>
        <v/>
      </c>
      <c r="V59" s="50">
        <f>IF(M59=0,"",INDEX(Escaleta!$I$1:$I$504,M59))</f>
        <v/>
      </c>
      <c r="W59" s="50">
        <f>IF(N59=0,"",INDEX(Escaleta!$I$1:$I$504,N59))</f>
        <v/>
      </c>
      <c r="X59" s="50">
        <f>IF(O59=0,"",INDEX(Escaleta!$I$1:$I$504,O59))</f>
        <v/>
      </c>
      <c r="Y59" s="50">
        <f>IF(P59=0,"",INDEX(Escaleta!$I$1:$I$504,P59))</f>
        <v/>
      </c>
      <c r="Z59" s="50">
        <f>IF(Q59=0,"",INDEX(Escaleta!$I$1:$I$504,Q59))</f>
        <v/>
      </c>
      <c r="AA59" s="50">
        <f>IF(R59=0,"",INDEX(Escaleta!$I$1:$I$504,R59))</f>
        <v/>
      </c>
      <c r="AB59" s="50">
        <f>IF(S59=0,"",INDEX(Escaleta!$I$1:$I$504,S59))</f>
        <v/>
      </c>
    </row>
    <row r="60" ht="18" customHeight="1">
      <c r="A60" s="48">
        <f>IF(A59="","",IF(A59+Configuración!$C$7/1440&gt;Configuración!$C$6-0.0001,"",A59+Configuración!$C$7/1440))</f>
        <v/>
      </c>
      <c r="B60" s="49">
        <f>IF(L60=0,"",IF(L60&lt;&gt;L59,INDEX(Escaleta!$F$1:$F$504,L60),IF(L60&lt;&gt;L58,TEXT(INDEX(Escaleta!$C$1:$C$504,L60),"hh:mm")&amp;"–"&amp;TEXT(INDEX(Escaleta!$E$1:$E$504,L60),"hh:mm"),"")))</f>
        <v/>
      </c>
      <c r="C60" s="49">
        <f>IF(M60=0,"",IF(M60&lt;&gt;M59,INDEX(Escaleta!$F$1:$F$504,M60),IF(M60&lt;&gt;M58,TEXT(INDEX(Escaleta!$C$1:$C$504,M60),"hh:mm")&amp;"–"&amp;TEXT(INDEX(Escaleta!$E$1:$E$504,M60),"hh:mm"),"")))</f>
        <v/>
      </c>
      <c r="D60" s="49">
        <f>IF(N60=0,"",IF(N60&lt;&gt;N59,INDEX(Escaleta!$F$1:$F$504,N60),IF(N60&lt;&gt;N58,TEXT(INDEX(Escaleta!$C$1:$C$504,N60),"hh:mm")&amp;"–"&amp;TEXT(INDEX(Escaleta!$E$1:$E$504,N60),"hh:mm"),"")))</f>
        <v/>
      </c>
      <c r="E60" s="49">
        <f>IF(O60=0,"",IF(O60&lt;&gt;O59,INDEX(Escaleta!$F$1:$F$504,O60),IF(O60&lt;&gt;O58,TEXT(INDEX(Escaleta!$C$1:$C$504,O60),"hh:mm")&amp;"–"&amp;TEXT(INDEX(Escaleta!$E$1:$E$504,O60),"hh:mm"),"")))</f>
        <v/>
      </c>
      <c r="F60" s="49">
        <f>IF(P60=0,"",IF(P60&lt;&gt;P59,INDEX(Escaleta!$F$1:$F$504,P60),IF(P60&lt;&gt;P58,TEXT(INDEX(Escaleta!$C$1:$C$504,P60),"hh:mm")&amp;"–"&amp;TEXT(INDEX(Escaleta!$E$1:$E$504,P60),"hh:mm"),"")))</f>
        <v/>
      </c>
      <c r="G60" s="49">
        <f>IF(Q60=0,"",IF(Q60&lt;&gt;Q59,INDEX(Escaleta!$F$1:$F$504,Q60),IF(Q60&lt;&gt;Q58,TEXT(INDEX(Escaleta!$C$1:$C$504,Q60),"hh:mm")&amp;"–"&amp;TEXT(INDEX(Escaleta!$E$1:$E$504,Q60),"hh:mm"),"")))</f>
        <v/>
      </c>
      <c r="H60" s="49">
        <f>IF(R60=0,"",IF(R60&lt;&gt;R59,INDEX(Escaleta!$F$1:$F$504,R60),IF(R60&lt;&gt;R58,TEXT(INDEX(Escaleta!$C$1:$C$504,R60),"hh:mm")&amp;"–"&amp;TEXT(INDEX(Escaleta!$E$1:$E$504,R60),"hh:mm"),"")))</f>
        <v/>
      </c>
      <c r="I60" s="49">
        <f>IF(S60=0,"",IF(S60&lt;&gt;S59,INDEX(Escaleta!$F$1:$F$504,S60),IF(S60&lt;&gt;S58,TEXT(INDEX(Escaleta!$C$1:$C$504,S60),"hh:mm")&amp;"–"&amp;TEXT(INDEX(Escaleta!$E$1:$E$504,S60),"hh:mm"),"")))</f>
        <v/>
      </c>
      <c r="L60" s="50">
        <f>IF(OR($A60="",B$6=""),0,SUMPRODUCT(MAX((Escaleta!$A$5:$A$504=$B$4)*(Escaleta!$H$5:$H$504=B$6)*(Escaleta!$K$5:$K$504&lt;&gt;"Cancelada")*(Escaleta!$C$5:$C$504&lt;$A60+Configuración!$C$7/1440)*(Escaleta!$E$5:$E$504&gt;$A60)*ROW(Escaleta!$A$5:$A$504))))</f>
        <v/>
      </c>
      <c r="M60" s="50">
        <f>IF(OR($A60="",C$6=""),0,SUMPRODUCT(MAX((Escaleta!$A$5:$A$504=$B$4)*(Escaleta!$H$5:$H$504=C$6)*(Escaleta!$K$5:$K$504&lt;&gt;"Cancelada")*(Escaleta!$C$5:$C$504&lt;$A60+Configuración!$C$7/1440)*(Escaleta!$E$5:$E$504&gt;$A60)*ROW(Escaleta!$A$5:$A$504))))</f>
        <v/>
      </c>
      <c r="N60" s="50">
        <f>IF(OR($A60="",D$6=""),0,SUMPRODUCT(MAX((Escaleta!$A$5:$A$504=$B$4)*(Escaleta!$H$5:$H$504=D$6)*(Escaleta!$K$5:$K$504&lt;&gt;"Cancelada")*(Escaleta!$C$5:$C$504&lt;$A60+Configuración!$C$7/1440)*(Escaleta!$E$5:$E$504&gt;$A60)*ROW(Escaleta!$A$5:$A$504))))</f>
        <v/>
      </c>
      <c r="O60" s="50">
        <f>IF(OR($A60="",E$6=""),0,SUMPRODUCT(MAX((Escaleta!$A$5:$A$504=$B$4)*(Escaleta!$H$5:$H$504=E$6)*(Escaleta!$K$5:$K$504&lt;&gt;"Cancelada")*(Escaleta!$C$5:$C$504&lt;$A60+Configuración!$C$7/1440)*(Escaleta!$E$5:$E$504&gt;$A60)*ROW(Escaleta!$A$5:$A$504))))</f>
        <v/>
      </c>
      <c r="P60" s="50">
        <f>IF(OR($A60="",F$6=""),0,SUMPRODUCT(MAX((Escaleta!$A$5:$A$504=$B$4)*(Escaleta!$H$5:$H$504=F$6)*(Escaleta!$K$5:$K$504&lt;&gt;"Cancelada")*(Escaleta!$C$5:$C$504&lt;$A60+Configuración!$C$7/1440)*(Escaleta!$E$5:$E$504&gt;$A60)*ROW(Escaleta!$A$5:$A$504))))</f>
        <v/>
      </c>
      <c r="Q60" s="50">
        <f>IF(OR($A60="",G$6=""),0,SUMPRODUCT(MAX((Escaleta!$A$5:$A$504=$B$4)*(Escaleta!$H$5:$H$504=G$6)*(Escaleta!$K$5:$K$504&lt;&gt;"Cancelada")*(Escaleta!$C$5:$C$504&lt;$A60+Configuración!$C$7/1440)*(Escaleta!$E$5:$E$504&gt;$A60)*ROW(Escaleta!$A$5:$A$504))))</f>
        <v/>
      </c>
      <c r="R60" s="50">
        <f>IF(OR($A60="",H$6=""),0,SUMPRODUCT(MAX((Escaleta!$A$5:$A$504=$B$4)*(Escaleta!$H$5:$H$504=H$6)*(Escaleta!$K$5:$K$504&lt;&gt;"Cancelada")*(Escaleta!$C$5:$C$504&lt;$A60+Configuración!$C$7/1440)*(Escaleta!$E$5:$E$504&gt;$A60)*ROW(Escaleta!$A$5:$A$504))))</f>
        <v/>
      </c>
      <c r="S60" s="50">
        <f>IF(OR($A60="",I$6=""),0,SUMPRODUCT(MAX((Escaleta!$A$5:$A$504=$B$4)*(Escaleta!$H$5:$H$504=I$6)*(Escaleta!$K$5:$K$504&lt;&gt;"Cancelada")*(Escaleta!$C$5:$C$504&lt;$A60+Configuración!$C$7/1440)*(Escaleta!$E$5:$E$504&gt;$A60)*ROW(Escaleta!$A$5:$A$504))))</f>
        <v/>
      </c>
      <c r="U60" s="50">
        <f>IF(L60=0,"",INDEX(Escaleta!$I$1:$I$504,L60))</f>
        <v/>
      </c>
      <c r="V60" s="50">
        <f>IF(M60=0,"",INDEX(Escaleta!$I$1:$I$504,M60))</f>
        <v/>
      </c>
      <c r="W60" s="50">
        <f>IF(N60=0,"",INDEX(Escaleta!$I$1:$I$504,N60))</f>
        <v/>
      </c>
      <c r="X60" s="50">
        <f>IF(O60=0,"",INDEX(Escaleta!$I$1:$I$504,O60))</f>
        <v/>
      </c>
      <c r="Y60" s="50">
        <f>IF(P60=0,"",INDEX(Escaleta!$I$1:$I$504,P60))</f>
        <v/>
      </c>
      <c r="Z60" s="50">
        <f>IF(Q60=0,"",INDEX(Escaleta!$I$1:$I$504,Q60))</f>
        <v/>
      </c>
      <c r="AA60" s="50">
        <f>IF(R60=0,"",INDEX(Escaleta!$I$1:$I$504,R60))</f>
        <v/>
      </c>
      <c r="AB60" s="50">
        <f>IF(S60=0,"",INDEX(Escaleta!$I$1:$I$504,S60))</f>
        <v/>
      </c>
    </row>
    <row r="61" ht="18" customHeight="1">
      <c r="A61" s="48">
        <f>IF(A60="","",IF(A60+Configuración!$C$7/1440&gt;Configuración!$C$6-0.0001,"",A60+Configuración!$C$7/1440))</f>
        <v/>
      </c>
      <c r="B61" s="49">
        <f>IF(L61=0,"",IF(L61&lt;&gt;L60,INDEX(Escaleta!$F$1:$F$504,L61),IF(L61&lt;&gt;L59,TEXT(INDEX(Escaleta!$C$1:$C$504,L61),"hh:mm")&amp;"–"&amp;TEXT(INDEX(Escaleta!$E$1:$E$504,L61),"hh:mm"),"")))</f>
        <v/>
      </c>
      <c r="C61" s="49">
        <f>IF(M61=0,"",IF(M61&lt;&gt;M60,INDEX(Escaleta!$F$1:$F$504,M61),IF(M61&lt;&gt;M59,TEXT(INDEX(Escaleta!$C$1:$C$504,M61),"hh:mm")&amp;"–"&amp;TEXT(INDEX(Escaleta!$E$1:$E$504,M61),"hh:mm"),"")))</f>
        <v/>
      </c>
      <c r="D61" s="49">
        <f>IF(N61=0,"",IF(N61&lt;&gt;N60,INDEX(Escaleta!$F$1:$F$504,N61),IF(N61&lt;&gt;N59,TEXT(INDEX(Escaleta!$C$1:$C$504,N61),"hh:mm")&amp;"–"&amp;TEXT(INDEX(Escaleta!$E$1:$E$504,N61),"hh:mm"),"")))</f>
        <v/>
      </c>
      <c r="E61" s="49">
        <f>IF(O61=0,"",IF(O61&lt;&gt;O60,INDEX(Escaleta!$F$1:$F$504,O61),IF(O61&lt;&gt;O59,TEXT(INDEX(Escaleta!$C$1:$C$504,O61),"hh:mm")&amp;"–"&amp;TEXT(INDEX(Escaleta!$E$1:$E$504,O61),"hh:mm"),"")))</f>
        <v/>
      </c>
      <c r="F61" s="49">
        <f>IF(P61=0,"",IF(P61&lt;&gt;P60,INDEX(Escaleta!$F$1:$F$504,P61),IF(P61&lt;&gt;P59,TEXT(INDEX(Escaleta!$C$1:$C$504,P61),"hh:mm")&amp;"–"&amp;TEXT(INDEX(Escaleta!$E$1:$E$504,P61),"hh:mm"),"")))</f>
        <v/>
      </c>
      <c r="G61" s="49">
        <f>IF(Q61=0,"",IF(Q61&lt;&gt;Q60,INDEX(Escaleta!$F$1:$F$504,Q61),IF(Q61&lt;&gt;Q59,TEXT(INDEX(Escaleta!$C$1:$C$504,Q61),"hh:mm")&amp;"–"&amp;TEXT(INDEX(Escaleta!$E$1:$E$504,Q61),"hh:mm"),"")))</f>
        <v/>
      </c>
      <c r="H61" s="49">
        <f>IF(R61=0,"",IF(R61&lt;&gt;R60,INDEX(Escaleta!$F$1:$F$504,R61),IF(R61&lt;&gt;R59,TEXT(INDEX(Escaleta!$C$1:$C$504,R61),"hh:mm")&amp;"–"&amp;TEXT(INDEX(Escaleta!$E$1:$E$504,R61),"hh:mm"),"")))</f>
        <v/>
      </c>
      <c r="I61" s="49">
        <f>IF(S61=0,"",IF(S61&lt;&gt;S60,INDEX(Escaleta!$F$1:$F$504,S61),IF(S61&lt;&gt;S59,TEXT(INDEX(Escaleta!$C$1:$C$504,S61),"hh:mm")&amp;"–"&amp;TEXT(INDEX(Escaleta!$E$1:$E$504,S61),"hh:mm"),"")))</f>
        <v/>
      </c>
      <c r="L61" s="50">
        <f>IF(OR($A61="",B$6=""),0,SUMPRODUCT(MAX((Escaleta!$A$5:$A$504=$B$4)*(Escaleta!$H$5:$H$504=B$6)*(Escaleta!$K$5:$K$504&lt;&gt;"Cancelada")*(Escaleta!$C$5:$C$504&lt;$A61+Configuración!$C$7/1440)*(Escaleta!$E$5:$E$504&gt;$A61)*ROW(Escaleta!$A$5:$A$504))))</f>
        <v/>
      </c>
      <c r="M61" s="50">
        <f>IF(OR($A61="",C$6=""),0,SUMPRODUCT(MAX((Escaleta!$A$5:$A$504=$B$4)*(Escaleta!$H$5:$H$504=C$6)*(Escaleta!$K$5:$K$504&lt;&gt;"Cancelada")*(Escaleta!$C$5:$C$504&lt;$A61+Configuración!$C$7/1440)*(Escaleta!$E$5:$E$504&gt;$A61)*ROW(Escaleta!$A$5:$A$504))))</f>
        <v/>
      </c>
      <c r="N61" s="50">
        <f>IF(OR($A61="",D$6=""),0,SUMPRODUCT(MAX((Escaleta!$A$5:$A$504=$B$4)*(Escaleta!$H$5:$H$504=D$6)*(Escaleta!$K$5:$K$504&lt;&gt;"Cancelada")*(Escaleta!$C$5:$C$504&lt;$A61+Configuración!$C$7/1440)*(Escaleta!$E$5:$E$504&gt;$A61)*ROW(Escaleta!$A$5:$A$504))))</f>
        <v/>
      </c>
      <c r="O61" s="50">
        <f>IF(OR($A61="",E$6=""),0,SUMPRODUCT(MAX((Escaleta!$A$5:$A$504=$B$4)*(Escaleta!$H$5:$H$504=E$6)*(Escaleta!$K$5:$K$504&lt;&gt;"Cancelada")*(Escaleta!$C$5:$C$504&lt;$A61+Configuración!$C$7/1440)*(Escaleta!$E$5:$E$504&gt;$A61)*ROW(Escaleta!$A$5:$A$504))))</f>
        <v/>
      </c>
      <c r="P61" s="50">
        <f>IF(OR($A61="",F$6=""),0,SUMPRODUCT(MAX((Escaleta!$A$5:$A$504=$B$4)*(Escaleta!$H$5:$H$504=F$6)*(Escaleta!$K$5:$K$504&lt;&gt;"Cancelada")*(Escaleta!$C$5:$C$504&lt;$A61+Configuración!$C$7/1440)*(Escaleta!$E$5:$E$504&gt;$A61)*ROW(Escaleta!$A$5:$A$504))))</f>
        <v/>
      </c>
      <c r="Q61" s="50">
        <f>IF(OR($A61="",G$6=""),0,SUMPRODUCT(MAX((Escaleta!$A$5:$A$504=$B$4)*(Escaleta!$H$5:$H$504=G$6)*(Escaleta!$K$5:$K$504&lt;&gt;"Cancelada")*(Escaleta!$C$5:$C$504&lt;$A61+Configuración!$C$7/1440)*(Escaleta!$E$5:$E$504&gt;$A61)*ROW(Escaleta!$A$5:$A$504))))</f>
        <v/>
      </c>
      <c r="R61" s="50">
        <f>IF(OR($A61="",H$6=""),0,SUMPRODUCT(MAX((Escaleta!$A$5:$A$504=$B$4)*(Escaleta!$H$5:$H$504=H$6)*(Escaleta!$K$5:$K$504&lt;&gt;"Cancelada")*(Escaleta!$C$5:$C$504&lt;$A61+Configuración!$C$7/1440)*(Escaleta!$E$5:$E$504&gt;$A61)*ROW(Escaleta!$A$5:$A$504))))</f>
        <v/>
      </c>
      <c r="S61" s="50">
        <f>IF(OR($A61="",I$6=""),0,SUMPRODUCT(MAX((Escaleta!$A$5:$A$504=$B$4)*(Escaleta!$H$5:$H$504=I$6)*(Escaleta!$K$5:$K$504&lt;&gt;"Cancelada")*(Escaleta!$C$5:$C$504&lt;$A61+Configuración!$C$7/1440)*(Escaleta!$E$5:$E$504&gt;$A61)*ROW(Escaleta!$A$5:$A$504))))</f>
        <v/>
      </c>
      <c r="U61" s="50">
        <f>IF(L61=0,"",INDEX(Escaleta!$I$1:$I$504,L61))</f>
        <v/>
      </c>
      <c r="V61" s="50">
        <f>IF(M61=0,"",INDEX(Escaleta!$I$1:$I$504,M61))</f>
        <v/>
      </c>
      <c r="W61" s="50">
        <f>IF(N61=0,"",INDEX(Escaleta!$I$1:$I$504,N61))</f>
        <v/>
      </c>
      <c r="X61" s="50">
        <f>IF(O61=0,"",INDEX(Escaleta!$I$1:$I$504,O61))</f>
        <v/>
      </c>
      <c r="Y61" s="50">
        <f>IF(P61=0,"",INDEX(Escaleta!$I$1:$I$504,P61))</f>
        <v/>
      </c>
      <c r="Z61" s="50">
        <f>IF(Q61=0,"",INDEX(Escaleta!$I$1:$I$504,Q61))</f>
        <v/>
      </c>
      <c r="AA61" s="50">
        <f>IF(R61=0,"",INDEX(Escaleta!$I$1:$I$504,R61))</f>
        <v/>
      </c>
      <c r="AB61" s="50">
        <f>IF(S61=0,"",INDEX(Escaleta!$I$1:$I$504,S61))</f>
        <v/>
      </c>
    </row>
    <row r="62" ht="18" customHeight="1">
      <c r="A62" s="48">
        <f>IF(A61="","",IF(A61+Configuración!$C$7/1440&gt;Configuración!$C$6-0.0001,"",A61+Configuración!$C$7/1440))</f>
        <v/>
      </c>
      <c r="B62" s="49">
        <f>IF(L62=0,"",IF(L62&lt;&gt;L61,INDEX(Escaleta!$F$1:$F$504,L62),IF(L62&lt;&gt;L60,TEXT(INDEX(Escaleta!$C$1:$C$504,L62),"hh:mm")&amp;"–"&amp;TEXT(INDEX(Escaleta!$E$1:$E$504,L62),"hh:mm"),"")))</f>
        <v/>
      </c>
      <c r="C62" s="49">
        <f>IF(M62=0,"",IF(M62&lt;&gt;M61,INDEX(Escaleta!$F$1:$F$504,M62),IF(M62&lt;&gt;M60,TEXT(INDEX(Escaleta!$C$1:$C$504,M62),"hh:mm")&amp;"–"&amp;TEXT(INDEX(Escaleta!$E$1:$E$504,M62),"hh:mm"),"")))</f>
        <v/>
      </c>
      <c r="D62" s="49">
        <f>IF(N62=0,"",IF(N62&lt;&gt;N61,INDEX(Escaleta!$F$1:$F$504,N62),IF(N62&lt;&gt;N60,TEXT(INDEX(Escaleta!$C$1:$C$504,N62),"hh:mm")&amp;"–"&amp;TEXT(INDEX(Escaleta!$E$1:$E$504,N62),"hh:mm"),"")))</f>
        <v/>
      </c>
      <c r="E62" s="49">
        <f>IF(O62=0,"",IF(O62&lt;&gt;O61,INDEX(Escaleta!$F$1:$F$504,O62),IF(O62&lt;&gt;O60,TEXT(INDEX(Escaleta!$C$1:$C$504,O62),"hh:mm")&amp;"–"&amp;TEXT(INDEX(Escaleta!$E$1:$E$504,O62),"hh:mm"),"")))</f>
        <v/>
      </c>
      <c r="F62" s="49">
        <f>IF(P62=0,"",IF(P62&lt;&gt;P61,INDEX(Escaleta!$F$1:$F$504,P62),IF(P62&lt;&gt;P60,TEXT(INDEX(Escaleta!$C$1:$C$504,P62),"hh:mm")&amp;"–"&amp;TEXT(INDEX(Escaleta!$E$1:$E$504,P62),"hh:mm"),"")))</f>
        <v/>
      </c>
      <c r="G62" s="49">
        <f>IF(Q62=0,"",IF(Q62&lt;&gt;Q61,INDEX(Escaleta!$F$1:$F$504,Q62),IF(Q62&lt;&gt;Q60,TEXT(INDEX(Escaleta!$C$1:$C$504,Q62),"hh:mm")&amp;"–"&amp;TEXT(INDEX(Escaleta!$E$1:$E$504,Q62),"hh:mm"),"")))</f>
        <v/>
      </c>
      <c r="H62" s="49">
        <f>IF(R62=0,"",IF(R62&lt;&gt;R61,INDEX(Escaleta!$F$1:$F$504,R62),IF(R62&lt;&gt;R60,TEXT(INDEX(Escaleta!$C$1:$C$504,R62),"hh:mm")&amp;"–"&amp;TEXT(INDEX(Escaleta!$E$1:$E$504,R62),"hh:mm"),"")))</f>
        <v/>
      </c>
      <c r="I62" s="49">
        <f>IF(S62=0,"",IF(S62&lt;&gt;S61,INDEX(Escaleta!$F$1:$F$504,S62),IF(S62&lt;&gt;S60,TEXT(INDEX(Escaleta!$C$1:$C$504,S62),"hh:mm")&amp;"–"&amp;TEXT(INDEX(Escaleta!$E$1:$E$504,S62),"hh:mm"),"")))</f>
        <v/>
      </c>
      <c r="L62" s="50">
        <f>IF(OR($A62="",B$6=""),0,SUMPRODUCT(MAX((Escaleta!$A$5:$A$504=$B$4)*(Escaleta!$H$5:$H$504=B$6)*(Escaleta!$K$5:$K$504&lt;&gt;"Cancelada")*(Escaleta!$C$5:$C$504&lt;$A62+Configuración!$C$7/1440)*(Escaleta!$E$5:$E$504&gt;$A62)*ROW(Escaleta!$A$5:$A$504))))</f>
        <v/>
      </c>
      <c r="M62" s="50">
        <f>IF(OR($A62="",C$6=""),0,SUMPRODUCT(MAX((Escaleta!$A$5:$A$504=$B$4)*(Escaleta!$H$5:$H$504=C$6)*(Escaleta!$K$5:$K$504&lt;&gt;"Cancelada")*(Escaleta!$C$5:$C$504&lt;$A62+Configuración!$C$7/1440)*(Escaleta!$E$5:$E$504&gt;$A62)*ROW(Escaleta!$A$5:$A$504))))</f>
        <v/>
      </c>
      <c r="N62" s="50">
        <f>IF(OR($A62="",D$6=""),0,SUMPRODUCT(MAX((Escaleta!$A$5:$A$504=$B$4)*(Escaleta!$H$5:$H$504=D$6)*(Escaleta!$K$5:$K$504&lt;&gt;"Cancelada")*(Escaleta!$C$5:$C$504&lt;$A62+Configuración!$C$7/1440)*(Escaleta!$E$5:$E$504&gt;$A62)*ROW(Escaleta!$A$5:$A$504))))</f>
        <v/>
      </c>
      <c r="O62" s="50">
        <f>IF(OR($A62="",E$6=""),0,SUMPRODUCT(MAX((Escaleta!$A$5:$A$504=$B$4)*(Escaleta!$H$5:$H$504=E$6)*(Escaleta!$K$5:$K$504&lt;&gt;"Cancelada")*(Escaleta!$C$5:$C$504&lt;$A62+Configuración!$C$7/1440)*(Escaleta!$E$5:$E$504&gt;$A62)*ROW(Escaleta!$A$5:$A$504))))</f>
        <v/>
      </c>
      <c r="P62" s="50">
        <f>IF(OR($A62="",F$6=""),0,SUMPRODUCT(MAX((Escaleta!$A$5:$A$504=$B$4)*(Escaleta!$H$5:$H$504=F$6)*(Escaleta!$K$5:$K$504&lt;&gt;"Cancelada")*(Escaleta!$C$5:$C$504&lt;$A62+Configuración!$C$7/1440)*(Escaleta!$E$5:$E$504&gt;$A62)*ROW(Escaleta!$A$5:$A$504))))</f>
        <v/>
      </c>
      <c r="Q62" s="50">
        <f>IF(OR($A62="",G$6=""),0,SUMPRODUCT(MAX((Escaleta!$A$5:$A$504=$B$4)*(Escaleta!$H$5:$H$504=G$6)*(Escaleta!$K$5:$K$504&lt;&gt;"Cancelada")*(Escaleta!$C$5:$C$504&lt;$A62+Configuración!$C$7/1440)*(Escaleta!$E$5:$E$504&gt;$A62)*ROW(Escaleta!$A$5:$A$504))))</f>
        <v/>
      </c>
      <c r="R62" s="50">
        <f>IF(OR($A62="",H$6=""),0,SUMPRODUCT(MAX((Escaleta!$A$5:$A$504=$B$4)*(Escaleta!$H$5:$H$504=H$6)*(Escaleta!$K$5:$K$504&lt;&gt;"Cancelada")*(Escaleta!$C$5:$C$504&lt;$A62+Configuración!$C$7/1440)*(Escaleta!$E$5:$E$504&gt;$A62)*ROW(Escaleta!$A$5:$A$504))))</f>
        <v/>
      </c>
      <c r="S62" s="50">
        <f>IF(OR($A62="",I$6=""),0,SUMPRODUCT(MAX((Escaleta!$A$5:$A$504=$B$4)*(Escaleta!$H$5:$H$504=I$6)*(Escaleta!$K$5:$K$504&lt;&gt;"Cancelada")*(Escaleta!$C$5:$C$504&lt;$A62+Configuración!$C$7/1440)*(Escaleta!$E$5:$E$504&gt;$A62)*ROW(Escaleta!$A$5:$A$504))))</f>
        <v/>
      </c>
      <c r="U62" s="50">
        <f>IF(L62=0,"",INDEX(Escaleta!$I$1:$I$504,L62))</f>
        <v/>
      </c>
      <c r="V62" s="50">
        <f>IF(M62=0,"",INDEX(Escaleta!$I$1:$I$504,M62))</f>
        <v/>
      </c>
      <c r="W62" s="50">
        <f>IF(N62=0,"",INDEX(Escaleta!$I$1:$I$504,N62))</f>
        <v/>
      </c>
      <c r="X62" s="50">
        <f>IF(O62=0,"",INDEX(Escaleta!$I$1:$I$504,O62))</f>
        <v/>
      </c>
      <c r="Y62" s="50">
        <f>IF(P62=0,"",INDEX(Escaleta!$I$1:$I$504,P62))</f>
        <v/>
      </c>
      <c r="Z62" s="50">
        <f>IF(Q62=0,"",INDEX(Escaleta!$I$1:$I$504,Q62))</f>
        <v/>
      </c>
      <c r="AA62" s="50">
        <f>IF(R62=0,"",INDEX(Escaleta!$I$1:$I$504,R62))</f>
        <v/>
      </c>
      <c r="AB62" s="50">
        <f>IF(S62=0,"",INDEX(Escaleta!$I$1:$I$504,S62))</f>
        <v/>
      </c>
    </row>
    <row r="63" ht="18" customHeight="1">
      <c r="A63" s="48">
        <f>IF(A62="","",IF(A62+Configuración!$C$7/1440&gt;Configuración!$C$6-0.0001,"",A62+Configuración!$C$7/1440))</f>
        <v/>
      </c>
      <c r="B63" s="49">
        <f>IF(L63=0,"",IF(L63&lt;&gt;L62,INDEX(Escaleta!$F$1:$F$504,L63),IF(L63&lt;&gt;L61,TEXT(INDEX(Escaleta!$C$1:$C$504,L63),"hh:mm")&amp;"–"&amp;TEXT(INDEX(Escaleta!$E$1:$E$504,L63),"hh:mm"),"")))</f>
        <v/>
      </c>
      <c r="C63" s="49">
        <f>IF(M63=0,"",IF(M63&lt;&gt;M62,INDEX(Escaleta!$F$1:$F$504,M63),IF(M63&lt;&gt;M61,TEXT(INDEX(Escaleta!$C$1:$C$504,M63),"hh:mm")&amp;"–"&amp;TEXT(INDEX(Escaleta!$E$1:$E$504,M63),"hh:mm"),"")))</f>
        <v/>
      </c>
      <c r="D63" s="49">
        <f>IF(N63=0,"",IF(N63&lt;&gt;N62,INDEX(Escaleta!$F$1:$F$504,N63),IF(N63&lt;&gt;N61,TEXT(INDEX(Escaleta!$C$1:$C$504,N63),"hh:mm")&amp;"–"&amp;TEXT(INDEX(Escaleta!$E$1:$E$504,N63),"hh:mm"),"")))</f>
        <v/>
      </c>
      <c r="E63" s="49">
        <f>IF(O63=0,"",IF(O63&lt;&gt;O62,INDEX(Escaleta!$F$1:$F$504,O63),IF(O63&lt;&gt;O61,TEXT(INDEX(Escaleta!$C$1:$C$504,O63),"hh:mm")&amp;"–"&amp;TEXT(INDEX(Escaleta!$E$1:$E$504,O63),"hh:mm"),"")))</f>
        <v/>
      </c>
      <c r="F63" s="49">
        <f>IF(P63=0,"",IF(P63&lt;&gt;P62,INDEX(Escaleta!$F$1:$F$504,P63),IF(P63&lt;&gt;P61,TEXT(INDEX(Escaleta!$C$1:$C$504,P63),"hh:mm")&amp;"–"&amp;TEXT(INDEX(Escaleta!$E$1:$E$504,P63),"hh:mm"),"")))</f>
        <v/>
      </c>
      <c r="G63" s="49">
        <f>IF(Q63=0,"",IF(Q63&lt;&gt;Q62,INDEX(Escaleta!$F$1:$F$504,Q63),IF(Q63&lt;&gt;Q61,TEXT(INDEX(Escaleta!$C$1:$C$504,Q63),"hh:mm")&amp;"–"&amp;TEXT(INDEX(Escaleta!$E$1:$E$504,Q63),"hh:mm"),"")))</f>
        <v/>
      </c>
      <c r="H63" s="49">
        <f>IF(R63=0,"",IF(R63&lt;&gt;R62,INDEX(Escaleta!$F$1:$F$504,R63),IF(R63&lt;&gt;R61,TEXT(INDEX(Escaleta!$C$1:$C$504,R63),"hh:mm")&amp;"–"&amp;TEXT(INDEX(Escaleta!$E$1:$E$504,R63),"hh:mm"),"")))</f>
        <v/>
      </c>
      <c r="I63" s="49">
        <f>IF(S63=0,"",IF(S63&lt;&gt;S62,INDEX(Escaleta!$F$1:$F$504,S63),IF(S63&lt;&gt;S61,TEXT(INDEX(Escaleta!$C$1:$C$504,S63),"hh:mm")&amp;"–"&amp;TEXT(INDEX(Escaleta!$E$1:$E$504,S63),"hh:mm"),"")))</f>
        <v/>
      </c>
      <c r="L63" s="50">
        <f>IF(OR($A63="",B$6=""),0,SUMPRODUCT(MAX((Escaleta!$A$5:$A$504=$B$4)*(Escaleta!$H$5:$H$504=B$6)*(Escaleta!$K$5:$K$504&lt;&gt;"Cancelada")*(Escaleta!$C$5:$C$504&lt;$A63+Configuración!$C$7/1440)*(Escaleta!$E$5:$E$504&gt;$A63)*ROW(Escaleta!$A$5:$A$504))))</f>
        <v/>
      </c>
      <c r="M63" s="50">
        <f>IF(OR($A63="",C$6=""),0,SUMPRODUCT(MAX((Escaleta!$A$5:$A$504=$B$4)*(Escaleta!$H$5:$H$504=C$6)*(Escaleta!$K$5:$K$504&lt;&gt;"Cancelada")*(Escaleta!$C$5:$C$504&lt;$A63+Configuración!$C$7/1440)*(Escaleta!$E$5:$E$504&gt;$A63)*ROW(Escaleta!$A$5:$A$504))))</f>
        <v/>
      </c>
      <c r="N63" s="50">
        <f>IF(OR($A63="",D$6=""),0,SUMPRODUCT(MAX((Escaleta!$A$5:$A$504=$B$4)*(Escaleta!$H$5:$H$504=D$6)*(Escaleta!$K$5:$K$504&lt;&gt;"Cancelada")*(Escaleta!$C$5:$C$504&lt;$A63+Configuración!$C$7/1440)*(Escaleta!$E$5:$E$504&gt;$A63)*ROW(Escaleta!$A$5:$A$504))))</f>
        <v/>
      </c>
      <c r="O63" s="50">
        <f>IF(OR($A63="",E$6=""),0,SUMPRODUCT(MAX((Escaleta!$A$5:$A$504=$B$4)*(Escaleta!$H$5:$H$504=E$6)*(Escaleta!$K$5:$K$504&lt;&gt;"Cancelada")*(Escaleta!$C$5:$C$504&lt;$A63+Configuración!$C$7/1440)*(Escaleta!$E$5:$E$504&gt;$A63)*ROW(Escaleta!$A$5:$A$504))))</f>
        <v/>
      </c>
      <c r="P63" s="50">
        <f>IF(OR($A63="",F$6=""),0,SUMPRODUCT(MAX((Escaleta!$A$5:$A$504=$B$4)*(Escaleta!$H$5:$H$504=F$6)*(Escaleta!$K$5:$K$504&lt;&gt;"Cancelada")*(Escaleta!$C$5:$C$504&lt;$A63+Configuración!$C$7/1440)*(Escaleta!$E$5:$E$504&gt;$A63)*ROW(Escaleta!$A$5:$A$504))))</f>
        <v/>
      </c>
      <c r="Q63" s="50">
        <f>IF(OR($A63="",G$6=""),0,SUMPRODUCT(MAX((Escaleta!$A$5:$A$504=$B$4)*(Escaleta!$H$5:$H$504=G$6)*(Escaleta!$K$5:$K$504&lt;&gt;"Cancelada")*(Escaleta!$C$5:$C$504&lt;$A63+Configuración!$C$7/1440)*(Escaleta!$E$5:$E$504&gt;$A63)*ROW(Escaleta!$A$5:$A$504))))</f>
        <v/>
      </c>
      <c r="R63" s="50">
        <f>IF(OR($A63="",H$6=""),0,SUMPRODUCT(MAX((Escaleta!$A$5:$A$504=$B$4)*(Escaleta!$H$5:$H$504=H$6)*(Escaleta!$K$5:$K$504&lt;&gt;"Cancelada")*(Escaleta!$C$5:$C$504&lt;$A63+Configuración!$C$7/1440)*(Escaleta!$E$5:$E$504&gt;$A63)*ROW(Escaleta!$A$5:$A$504))))</f>
        <v/>
      </c>
      <c r="S63" s="50">
        <f>IF(OR($A63="",I$6=""),0,SUMPRODUCT(MAX((Escaleta!$A$5:$A$504=$B$4)*(Escaleta!$H$5:$H$504=I$6)*(Escaleta!$K$5:$K$504&lt;&gt;"Cancelada")*(Escaleta!$C$5:$C$504&lt;$A63+Configuración!$C$7/1440)*(Escaleta!$E$5:$E$504&gt;$A63)*ROW(Escaleta!$A$5:$A$504))))</f>
        <v/>
      </c>
      <c r="U63" s="50">
        <f>IF(L63=0,"",INDEX(Escaleta!$I$1:$I$504,L63))</f>
        <v/>
      </c>
      <c r="V63" s="50">
        <f>IF(M63=0,"",INDEX(Escaleta!$I$1:$I$504,M63))</f>
        <v/>
      </c>
      <c r="W63" s="50">
        <f>IF(N63=0,"",INDEX(Escaleta!$I$1:$I$504,N63))</f>
        <v/>
      </c>
      <c r="X63" s="50">
        <f>IF(O63=0,"",INDEX(Escaleta!$I$1:$I$504,O63))</f>
        <v/>
      </c>
      <c r="Y63" s="50">
        <f>IF(P63=0,"",INDEX(Escaleta!$I$1:$I$504,P63))</f>
        <v/>
      </c>
      <c r="Z63" s="50">
        <f>IF(Q63=0,"",INDEX(Escaleta!$I$1:$I$504,Q63))</f>
        <v/>
      </c>
      <c r="AA63" s="50">
        <f>IF(R63=0,"",INDEX(Escaleta!$I$1:$I$504,R63))</f>
        <v/>
      </c>
      <c r="AB63" s="50">
        <f>IF(S63=0,"",INDEX(Escaleta!$I$1:$I$504,S63))</f>
        <v/>
      </c>
    </row>
    <row r="64" ht="18" customHeight="1">
      <c r="A64" s="48">
        <f>IF(A63="","",IF(A63+Configuración!$C$7/1440&gt;Configuración!$C$6-0.0001,"",A63+Configuración!$C$7/1440))</f>
        <v/>
      </c>
      <c r="B64" s="49">
        <f>IF(L64=0,"",IF(L64&lt;&gt;L63,INDEX(Escaleta!$F$1:$F$504,L64),IF(L64&lt;&gt;L62,TEXT(INDEX(Escaleta!$C$1:$C$504,L64),"hh:mm")&amp;"–"&amp;TEXT(INDEX(Escaleta!$E$1:$E$504,L64),"hh:mm"),"")))</f>
        <v/>
      </c>
      <c r="C64" s="49">
        <f>IF(M64=0,"",IF(M64&lt;&gt;M63,INDEX(Escaleta!$F$1:$F$504,M64),IF(M64&lt;&gt;M62,TEXT(INDEX(Escaleta!$C$1:$C$504,M64),"hh:mm")&amp;"–"&amp;TEXT(INDEX(Escaleta!$E$1:$E$504,M64),"hh:mm"),"")))</f>
        <v/>
      </c>
      <c r="D64" s="49">
        <f>IF(N64=0,"",IF(N64&lt;&gt;N63,INDEX(Escaleta!$F$1:$F$504,N64),IF(N64&lt;&gt;N62,TEXT(INDEX(Escaleta!$C$1:$C$504,N64),"hh:mm")&amp;"–"&amp;TEXT(INDEX(Escaleta!$E$1:$E$504,N64),"hh:mm"),"")))</f>
        <v/>
      </c>
      <c r="E64" s="49">
        <f>IF(O64=0,"",IF(O64&lt;&gt;O63,INDEX(Escaleta!$F$1:$F$504,O64),IF(O64&lt;&gt;O62,TEXT(INDEX(Escaleta!$C$1:$C$504,O64),"hh:mm")&amp;"–"&amp;TEXT(INDEX(Escaleta!$E$1:$E$504,O64),"hh:mm"),"")))</f>
        <v/>
      </c>
      <c r="F64" s="49">
        <f>IF(P64=0,"",IF(P64&lt;&gt;P63,INDEX(Escaleta!$F$1:$F$504,P64),IF(P64&lt;&gt;P62,TEXT(INDEX(Escaleta!$C$1:$C$504,P64),"hh:mm")&amp;"–"&amp;TEXT(INDEX(Escaleta!$E$1:$E$504,P64),"hh:mm"),"")))</f>
        <v/>
      </c>
      <c r="G64" s="49">
        <f>IF(Q64=0,"",IF(Q64&lt;&gt;Q63,INDEX(Escaleta!$F$1:$F$504,Q64),IF(Q64&lt;&gt;Q62,TEXT(INDEX(Escaleta!$C$1:$C$504,Q64),"hh:mm")&amp;"–"&amp;TEXT(INDEX(Escaleta!$E$1:$E$504,Q64),"hh:mm"),"")))</f>
        <v/>
      </c>
      <c r="H64" s="49">
        <f>IF(R64=0,"",IF(R64&lt;&gt;R63,INDEX(Escaleta!$F$1:$F$504,R64),IF(R64&lt;&gt;R62,TEXT(INDEX(Escaleta!$C$1:$C$504,R64),"hh:mm")&amp;"–"&amp;TEXT(INDEX(Escaleta!$E$1:$E$504,R64),"hh:mm"),"")))</f>
        <v/>
      </c>
      <c r="I64" s="49">
        <f>IF(S64=0,"",IF(S64&lt;&gt;S63,INDEX(Escaleta!$F$1:$F$504,S64),IF(S64&lt;&gt;S62,TEXT(INDEX(Escaleta!$C$1:$C$504,S64),"hh:mm")&amp;"–"&amp;TEXT(INDEX(Escaleta!$E$1:$E$504,S64),"hh:mm"),"")))</f>
        <v/>
      </c>
      <c r="L64" s="50">
        <f>IF(OR($A64="",B$6=""),0,SUMPRODUCT(MAX((Escaleta!$A$5:$A$504=$B$4)*(Escaleta!$H$5:$H$504=B$6)*(Escaleta!$K$5:$K$504&lt;&gt;"Cancelada")*(Escaleta!$C$5:$C$504&lt;$A64+Configuración!$C$7/1440)*(Escaleta!$E$5:$E$504&gt;$A64)*ROW(Escaleta!$A$5:$A$504))))</f>
        <v/>
      </c>
      <c r="M64" s="50">
        <f>IF(OR($A64="",C$6=""),0,SUMPRODUCT(MAX((Escaleta!$A$5:$A$504=$B$4)*(Escaleta!$H$5:$H$504=C$6)*(Escaleta!$K$5:$K$504&lt;&gt;"Cancelada")*(Escaleta!$C$5:$C$504&lt;$A64+Configuración!$C$7/1440)*(Escaleta!$E$5:$E$504&gt;$A64)*ROW(Escaleta!$A$5:$A$504))))</f>
        <v/>
      </c>
      <c r="N64" s="50">
        <f>IF(OR($A64="",D$6=""),0,SUMPRODUCT(MAX((Escaleta!$A$5:$A$504=$B$4)*(Escaleta!$H$5:$H$504=D$6)*(Escaleta!$K$5:$K$504&lt;&gt;"Cancelada")*(Escaleta!$C$5:$C$504&lt;$A64+Configuración!$C$7/1440)*(Escaleta!$E$5:$E$504&gt;$A64)*ROW(Escaleta!$A$5:$A$504))))</f>
        <v/>
      </c>
      <c r="O64" s="50">
        <f>IF(OR($A64="",E$6=""),0,SUMPRODUCT(MAX((Escaleta!$A$5:$A$504=$B$4)*(Escaleta!$H$5:$H$504=E$6)*(Escaleta!$K$5:$K$504&lt;&gt;"Cancelada")*(Escaleta!$C$5:$C$504&lt;$A64+Configuración!$C$7/1440)*(Escaleta!$E$5:$E$504&gt;$A64)*ROW(Escaleta!$A$5:$A$504))))</f>
        <v/>
      </c>
      <c r="P64" s="50">
        <f>IF(OR($A64="",F$6=""),0,SUMPRODUCT(MAX((Escaleta!$A$5:$A$504=$B$4)*(Escaleta!$H$5:$H$504=F$6)*(Escaleta!$K$5:$K$504&lt;&gt;"Cancelada")*(Escaleta!$C$5:$C$504&lt;$A64+Configuración!$C$7/1440)*(Escaleta!$E$5:$E$504&gt;$A64)*ROW(Escaleta!$A$5:$A$504))))</f>
        <v/>
      </c>
      <c r="Q64" s="50">
        <f>IF(OR($A64="",G$6=""),0,SUMPRODUCT(MAX((Escaleta!$A$5:$A$504=$B$4)*(Escaleta!$H$5:$H$504=G$6)*(Escaleta!$K$5:$K$504&lt;&gt;"Cancelada")*(Escaleta!$C$5:$C$504&lt;$A64+Configuración!$C$7/1440)*(Escaleta!$E$5:$E$504&gt;$A64)*ROW(Escaleta!$A$5:$A$504))))</f>
        <v/>
      </c>
      <c r="R64" s="50">
        <f>IF(OR($A64="",H$6=""),0,SUMPRODUCT(MAX((Escaleta!$A$5:$A$504=$B$4)*(Escaleta!$H$5:$H$504=H$6)*(Escaleta!$K$5:$K$504&lt;&gt;"Cancelada")*(Escaleta!$C$5:$C$504&lt;$A64+Configuración!$C$7/1440)*(Escaleta!$E$5:$E$504&gt;$A64)*ROW(Escaleta!$A$5:$A$504))))</f>
        <v/>
      </c>
      <c r="S64" s="50">
        <f>IF(OR($A64="",I$6=""),0,SUMPRODUCT(MAX((Escaleta!$A$5:$A$504=$B$4)*(Escaleta!$H$5:$H$504=I$6)*(Escaleta!$K$5:$K$504&lt;&gt;"Cancelada")*(Escaleta!$C$5:$C$504&lt;$A64+Configuración!$C$7/1440)*(Escaleta!$E$5:$E$504&gt;$A64)*ROW(Escaleta!$A$5:$A$504))))</f>
        <v/>
      </c>
      <c r="U64" s="50">
        <f>IF(L64=0,"",INDEX(Escaleta!$I$1:$I$504,L64))</f>
        <v/>
      </c>
      <c r="V64" s="50">
        <f>IF(M64=0,"",INDEX(Escaleta!$I$1:$I$504,M64))</f>
        <v/>
      </c>
      <c r="W64" s="50">
        <f>IF(N64=0,"",INDEX(Escaleta!$I$1:$I$504,N64))</f>
        <v/>
      </c>
      <c r="X64" s="50">
        <f>IF(O64=0,"",INDEX(Escaleta!$I$1:$I$504,O64))</f>
        <v/>
      </c>
      <c r="Y64" s="50">
        <f>IF(P64=0,"",INDEX(Escaleta!$I$1:$I$504,P64))</f>
        <v/>
      </c>
      <c r="Z64" s="50">
        <f>IF(Q64=0,"",INDEX(Escaleta!$I$1:$I$504,Q64))</f>
        <v/>
      </c>
      <c r="AA64" s="50">
        <f>IF(R64=0,"",INDEX(Escaleta!$I$1:$I$504,R64))</f>
        <v/>
      </c>
      <c r="AB64" s="50">
        <f>IF(S64=0,"",INDEX(Escaleta!$I$1:$I$504,S64))</f>
        <v/>
      </c>
    </row>
    <row r="65" ht="18" customHeight="1">
      <c r="A65" s="48">
        <f>IF(A64="","",IF(A64+Configuración!$C$7/1440&gt;Configuración!$C$6-0.0001,"",A64+Configuración!$C$7/1440))</f>
        <v/>
      </c>
      <c r="B65" s="49">
        <f>IF(L65=0,"",IF(L65&lt;&gt;L64,INDEX(Escaleta!$F$1:$F$504,L65),IF(L65&lt;&gt;L63,TEXT(INDEX(Escaleta!$C$1:$C$504,L65),"hh:mm")&amp;"–"&amp;TEXT(INDEX(Escaleta!$E$1:$E$504,L65),"hh:mm"),"")))</f>
        <v/>
      </c>
      <c r="C65" s="49">
        <f>IF(M65=0,"",IF(M65&lt;&gt;M64,INDEX(Escaleta!$F$1:$F$504,M65),IF(M65&lt;&gt;M63,TEXT(INDEX(Escaleta!$C$1:$C$504,M65),"hh:mm")&amp;"–"&amp;TEXT(INDEX(Escaleta!$E$1:$E$504,M65),"hh:mm"),"")))</f>
        <v/>
      </c>
      <c r="D65" s="49">
        <f>IF(N65=0,"",IF(N65&lt;&gt;N64,INDEX(Escaleta!$F$1:$F$504,N65),IF(N65&lt;&gt;N63,TEXT(INDEX(Escaleta!$C$1:$C$504,N65),"hh:mm")&amp;"–"&amp;TEXT(INDEX(Escaleta!$E$1:$E$504,N65),"hh:mm"),"")))</f>
        <v/>
      </c>
      <c r="E65" s="49">
        <f>IF(O65=0,"",IF(O65&lt;&gt;O64,INDEX(Escaleta!$F$1:$F$504,O65),IF(O65&lt;&gt;O63,TEXT(INDEX(Escaleta!$C$1:$C$504,O65),"hh:mm")&amp;"–"&amp;TEXT(INDEX(Escaleta!$E$1:$E$504,O65),"hh:mm"),"")))</f>
        <v/>
      </c>
      <c r="F65" s="49">
        <f>IF(P65=0,"",IF(P65&lt;&gt;P64,INDEX(Escaleta!$F$1:$F$504,P65),IF(P65&lt;&gt;P63,TEXT(INDEX(Escaleta!$C$1:$C$504,P65),"hh:mm")&amp;"–"&amp;TEXT(INDEX(Escaleta!$E$1:$E$504,P65),"hh:mm"),"")))</f>
        <v/>
      </c>
      <c r="G65" s="49">
        <f>IF(Q65=0,"",IF(Q65&lt;&gt;Q64,INDEX(Escaleta!$F$1:$F$504,Q65),IF(Q65&lt;&gt;Q63,TEXT(INDEX(Escaleta!$C$1:$C$504,Q65),"hh:mm")&amp;"–"&amp;TEXT(INDEX(Escaleta!$E$1:$E$504,Q65),"hh:mm"),"")))</f>
        <v/>
      </c>
      <c r="H65" s="49">
        <f>IF(R65=0,"",IF(R65&lt;&gt;R64,INDEX(Escaleta!$F$1:$F$504,R65),IF(R65&lt;&gt;R63,TEXT(INDEX(Escaleta!$C$1:$C$504,R65),"hh:mm")&amp;"–"&amp;TEXT(INDEX(Escaleta!$E$1:$E$504,R65),"hh:mm"),"")))</f>
        <v/>
      </c>
      <c r="I65" s="49">
        <f>IF(S65=0,"",IF(S65&lt;&gt;S64,INDEX(Escaleta!$F$1:$F$504,S65),IF(S65&lt;&gt;S63,TEXT(INDEX(Escaleta!$C$1:$C$504,S65),"hh:mm")&amp;"–"&amp;TEXT(INDEX(Escaleta!$E$1:$E$504,S65),"hh:mm"),"")))</f>
        <v/>
      </c>
      <c r="L65" s="50">
        <f>IF(OR($A65="",B$6=""),0,SUMPRODUCT(MAX((Escaleta!$A$5:$A$504=$B$4)*(Escaleta!$H$5:$H$504=B$6)*(Escaleta!$K$5:$K$504&lt;&gt;"Cancelada")*(Escaleta!$C$5:$C$504&lt;$A65+Configuración!$C$7/1440)*(Escaleta!$E$5:$E$504&gt;$A65)*ROW(Escaleta!$A$5:$A$504))))</f>
        <v/>
      </c>
      <c r="M65" s="50">
        <f>IF(OR($A65="",C$6=""),0,SUMPRODUCT(MAX((Escaleta!$A$5:$A$504=$B$4)*(Escaleta!$H$5:$H$504=C$6)*(Escaleta!$K$5:$K$504&lt;&gt;"Cancelada")*(Escaleta!$C$5:$C$504&lt;$A65+Configuración!$C$7/1440)*(Escaleta!$E$5:$E$504&gt;$A65)*ROW(Escaleta!$A$5:$A$504))))</f>
        <v/>
      </c>
      <c r="N65" s="50">
        <f>IF(OR($A65="",D$6=""),0,SUMPRODUCT(MAX((Escaleta!$A$5:$A$504=$B$4)*(Escaleta!$H$5:$H$504=D$6)*(Escaleta!$K$5:$K$504&lt;&gt;"Cancelada")*(Escaleta!$C$5:$C$504&lt;$A65+Configuración!$C$7/1440)*(Escaleta!$E$5:$E$504&gt;$A65)*ROW(Escaleta!$A$5:$A$504))))</f>
        <v/>
      </c>
      <c r="O65" s="50">
        <f>IF(OR($A65="",E$6=""),0,SUMPRODUCT(MAX((Escaleta!$A$5:$A$504=$B$4)*(Escaleta!$H$5:$H$504=E$6)*(Escaleta!$K$5:$K$504&lt;&gt;"Cancelada")*(Escaleta!$C$5:$C$504&lt;$A65+Configuración!$C$7/1440)*(Escaleta!$E$5:$E$504&gt;$A65)*ROW(Escaleta!$A$5:$A$504))))</f>
        <v/>
      </c>
      <c r="P65" s="50">
        <f>IF(OR($A65="",F$6=""),0,SUMPRODUCT(MAX((Escaleta!$A$5:$A$504=$B$4)*(Escaleta!$H$5:$H$504=F$6)*(Escaleta!$K$5:$K$504&lt;&gt;"Cancelada")*(Escaleta!$C$5:$C$504&lt;$A65+Configuración!$C$7/1440)*(Escaleta!$E$5:$E$504&gt;$A65)*ROW(Escaleta!$A$5:$A$504))))</f>
        <v/>
      </c>
      <c r="Q65" s="50">
        <f>IF(OR($A65="",G$6=""),0,SUMPRODUCT(MAX((Escaleta!$A$5:$A$504=$B$4)*(Escaleta!$H$5:$H$504=G$6)*(Escaleta!$K$5:$K$504&lt;&gt;"Cancelada")*(Escaleta!$C$5:$C$504&lt;$A65+Configuración!$C$7/1440)*(Escaleta!$E$5:$E$504&gt;$A65)*ROW(Escaleta!$A$5:$A$504))))</f>
        <v/>
      </c>
      <c r="R65" s="50">
        <f>IF(OR($A65="",H$6=""),0,SUMPRODUCT(MAX((Escaleta!$A$5:$A$504=$B$4)*(Escaleta!$H$5:$H$504=H$6)*(Escaleta!$K$5:$K$504&lt;&gt;"Cancelada")*(Escaleta!$C$5:$C$504&lt;$A65+Configuración!$C$7/1440)*(Escaleta!$E$5:$E$504&gt;$A65)*ROW(Escaleta!$A$5:$A$504))))</f>
        <v/>
      </c>
      <c r="S65" s="50">
        <f>IF(OR($A65="",I$6=""),0,SUMPRODUCT(MAX((Escaleta!$A$5:$A$504=$B$4)*(Escaleta!$H$5:$H$504=I$6)*(Escaleta!$K$5:$K$504&lt;&gt;"Cancelada")*(Escaleta!$C$5:$C$504&lt;$A65+Configuración!$C$7/1440)*(Escaleta!$E$5:$E$504&gt;$A65)*ROW(Escaleta!$A$5:$A$504))))</f>
        <v/>
      </c>
      <c r="U65" s="50">
        <f>IF(L65=0,"",INDEX(Escaleta!$I$1:$I$504,L65))</f>
        <v/>
      </c>
      <c r="V65" s="50">
        <f>IF(M65=0,"",INDEX(Escaleta!$I$1:$I$504,M65))</f>
        <v/>
      </c>
      <c r="W65" s="50">
        <f>IF(N65=0,"",INDEX(Escaleta!$I$1:$I$504,N65))</f>
        <v/>
      </c>
      <c r="X65" s="50">
        <f>IF(O65=0,"",INDEX(Escaleta!$I$1:$I$504,O65))</f>
        <v/>
      </c>
      <c r="Y65" s="50">
        <f>IF(P65=0,"",INDEX(Escaleta!$I$1:$I$504,P65))</f>
        <v/>
      </c>
      <c r="Z65" s="50">
        <f>IF(Q65=0,"",INDEX(Escaleta!$I$1:$I$504,Q65))</f>
        <v/>
      </c>
      <c r="AA65" s="50">
        <f>IF(R65=0,"",INDEX(Escaleta!$I$1:$I$504,R65))</f>
        <v/>
      </c>
      <c r="AB65" s="50">
        <f>IF(S65=0,"",INDEX(Escaleta!$I$1:$I$504,S65))</f>
        <v/>
      </c>
    </row>
    <row r="66" ht="18" customHeight="1">
      <c r="A66" s="48">
        <f>IF(A65="","",IF(A65+Configuración!$C$7/1440&gt;Configuración!$C$6-0.0001,"",A65+Configuración!$C$7/1440))</f>
        <v/>
      </c>
      <c r="B66" s="49">
        <f>IF(L66=0,"",IF(L66&lt;&gt;L65,INDEX(Escaleta!$F$1:$F$504,L66),IF(L66&lt;&gt;L64,TEXT(INDEX(Escaleta!$C$1:$C$504,L66),"hh:mm")&amp;"–"&amp;TEXT(INDEX(Escaleta!$E$1:$E$504,L66),"hh:mm"),"")))</f>
        <v/>
      </c>
      <c r="C66" s="49">
        <f>IF(M66=0,"",IF(M66&lt;&gt;M65,INDEX(Escaleta!$F$1:$F$504,M66),IF(M66&lt;&gt;M64,TEXT(INDEX(Escaleta!$C$1:$C$504,M66),"hh:mm")&amp;"–"&amp;TEXT(INDEX(Escaleta!$E$1:$E$504,M66),"hh:mm"),"")))</f>
        <v/>
      </c>
      <c r="D66" s="49">
        <f>IF(N66=0,"",IF(N66&lt;&gt;N65,INDEX(Escaleta!$F$1:$F$504,N66),IF(N66&lt;&gt;N64,TEXT(INDEX(Escaleta!$C$1:$C$504,N66),"hh:mm")&amp;"–"&amp;TEXT(INDEX(Escaleta!$E$1:$E$504,N66),"hh:mm"),"")))</f>
        <v/>
      </c>
      <c r="E66" s="49">
        <f>IF(O66=0,"",IF(O66&lt;&gt;O65,INDEX(Escaleta!$F$1:$F$504,O66),IF(O66&lt;&gt;O64,TEXT(INDEX(Escaleta!$C$1:$C$504,O66),"hh:mm")&amp;"–"&amp;TEXT(INDEX(Escaleta!$E$1:$E$504,O66),"hh:mm"),"")))</f>
        <v/>
      </c>
      <c r="F66" s="49">
        <f>IF(P66=0,"",IF(P66&lt;&gt;P65,INDEX(Escaleta!$F$1:$F$504,P66),IF(P66&lt;&gt;P64,TEXT(INDEX(Escaleta!$C$1:$C$504,P66),"hh:mm")&amp;"–"&amp;TEXT(INDEX(Escaleta!$E$1:$E$504,P66),"hh:mm"),"")))</f>
        <v/>
      </c>
      <c r="G66" s="49">
        <f>IF(Q66=0,"",IF(Q66&lt;&gt;Q65,INDEX(Escaleta!$F$1:$F$504,Q66),IF(Q66&lt;&gt;Q64,TEXT(INDEX(Escaleta!$C$1:$C$504,Q66),"hh:mm")&amp;"–"&amp;TEXT(INDEX(Escaleta!$E$1:$E$504,Q66),"hh:mm"),"")))</f>
        <v/>
      </c>
      <c r="H66" s="49">
        <f>IF(R66=0,"",IF(R66&lt;&gt;R65,INDEX(Escaleta!$F$1:$F$504,R66),IF(R66&lt;&gt;R64,TEXT(INDEX(Escaleta!$C$1:$C$504,R66),"hh:mm")&amp;"–"&amp;TEXT(INDEX(Escaleta!$E$1:$E$504,R66),"hh:mm"),"")))</f>
        <v/>
      </c>
      <c r="I66" s="49">
        <f>IF(S66=0,"",IF(S66&lt;&gt;S65,INDEX(Escaleta!$F$1:$F$504,S66),IF(S66&lt;&gt;S64,TEXT(INDEX(Escaleta!$C$1:$C$504,S66),"hh:mm")&amp;"–"&amp;TEXT(INDEX(Escaleta!$E$1:$E$504,S66),"hh:mm"),"")))</f>
        <v/>
      </c>
      <c r="L66" s="50">
        <f>IF(OR($A66="",B$6=""),0,SUMPRODUCT(MAX((Escaleta!$A$5:$A$504=$B$4)*(Escaleta!$H$5:$H$504=B$6)*(Escaleta!$K$5:$K$504&lt;&gt;"Cancelada")*(Escaleta!$C$5:$C$504&lt;$A66+Configuración!$C$7/1440)*(Escaleta!$E$5:$E$504&gt;$A66)*ROW(Escaleta!$A$5:$A$504))))</f>
        <v/>
      </c>
      <c r="M66" s="50">
        <f>IF(OR($A66="",C$6=""),0,SUMPRODUCT(MAX((Escaleta!$A$5:$A$504=$B$4)*(Escaleta!$H$5:$H$504=C$6)*(Escaleta!$K$5:$K$504&lt;&gt;"Cancelada")*(Escaleta!$C$5:$C$504&lt;$A66+Configuración!$C$7/1440)*(Escaleta!$E$5:$E$504&gt;$A66)*ROW(Escaleta!$A$5:$A$504))))</f>
        <v/>
      </c>
      <c r="N66" s="50">
        <f>IF(OR($A66="",D$6=""),0,SUMPRODUCT(MAX((Escaleta!$A$5:$A$504=$B$4)*(Escaleta!$H$5:$H$504=D$6)*(Escaleta!$K$5:$K$504&lt;&gt;"Cancelada")*(Escaleta!$C$5:$C$504&lt;$A66+Configuración!$C$7/1440)*(Escaleta!$E$5:$E$504&gt;$A66)*ROW(Escaleta!$A$5:$A$504))))</f>
        <v/>
      </c>
      <c r="O66" s="50">
        <f>IF(OR($A66="",E$6=""),0,SUMPRODUCT(MAX((Escaleta!$A$5:$A$504=$B$4)*(Escaleta!$H$5:$H$504=E$6)*(Escaleta!$K$5:$K$504&lt;&gt;"Cancelada")*(Escaleta!$C$5:$C$504&lt;$A66+Configuración!$C$7/1440)*(Escaleta!$E$5:$E$504&gt;$A66)*ROW(Escaleta!$A$5:$A$504))))</f>
        <v/>
      </c>
      <c r="P66" s="50">
        <f>IF(OR($A66="",F$6=""),0,SUMPRODUCT(MAX((Escaleta!$A$5:$A$504=$B$4)*(Escaleta!$H$5:$H$504=F$6)*(Escaleta!$K$5:$K$504&lt;&gt;"Cancelada")*(Escaleta!$C$5:$C$504&lt;$A66+Configuración!$C$7/1440)*(Escaleta!$E$5:$E$504&gt;$A66)*ROW(Escaleta!$A$5:$A$504))))</f>
        <v/>
      </c>
      <c r="Q66" s="50">
        <f>IF(OR($A66="",G$6=""),0,SUMPRODUCT(MAX((Escaleta!$A$5:$A$504=$B$4)*(Escaleta!$H$5:$H$504=G$6)*(Escaleta!$K$5:$K$504&lt;&gt;"Cancelada")*(Escaleta!$C$5:$C$504&lt;$A66+Configuración!$C$7/1440)*(Escaleta!$E$5:$E$504&gt;$A66)*ROW(Escaleta!$A$5:$A$504))))</f>
        <v/>
      </c>
      <c r="R66" s="50">
        <f>IF(OR($A66="",H$6=""),0,SUMPRODUCT(MAX((Escaleta!$A$5:$A$504=$B$4)*(Escaleta!$H$5:$H$504=H$6)*(Escaleta!$K$5:$K$504&lt;&gt;"Cancelada")*(Escaleta!$C$5:$C$504&lt;$A66+Configuración!$C$7/1440)*(Escaleta!$E$5:$E$504&gt;$A66)*ROW(Escaleta!$A$5:$A$504))))</f>
        <v/>
      </c>
      <c r="S66" s="50">
        <f>IF(OR($A66="",I$6=""),0,SUMPRODUCT(MAX((Escaleta!$A$5:$A$504=$B$4)*(Escaleta!$H$5:$H$504=I$6)*(Escaleta!$K$5:$K$504&lt;&gt;"Cancelada")*(Escaleta!$C$5:$C$504&lt;$A66+Configuración!$C$7/1440)*(Escaleta!$E$5:$E$504&gt;$A66)*ROW(Escaleta!$A$5:$A$504))))</f>
        <v/>
      </c>
      <c r="U66" s="50">
        <f>IF(L66=0,"",INDEX(Escaleta!$I$1:$I$504,L66))</f>
        <v/>
      </c>
      <c r="V66" s="50">
        <f>IF(M66=0,"",INDEX(Escaleta!$I$1:$I$504,M66))</f>
        <v/>
      </c>
      <c r="W66" s="50">
        <f>IF(N66=0,"",INDEX(Escaleta!$I$1:$I$504,N66))</f>
        <v/>
      </c>
      <c r="X66" s="50">
        <f>IF(O66=0,"",INDEX(Escaleta!$I$1:$I$504,O66))</f>
        <v/>
      </c>
      <c r="Y66" s="50">
        <f>IF(P66=0,"",INDEX(Escaleta!$I$1:$I$504,P66))</f>
        <v/>
      </c>
      <c r="Z66" s="50">
        <f>IF(Q66=0,"",INDEX(Escaleta!$I$1:$I$504,Q66))</f>
        <v/>
      </c>
      <c r="AA66" s="50">
        <f>IF(R66=0,"",INDEX(Escaleta!$I$1:$I$504,R66))</f>
        <v/>
      </c>
      <c r="AB66" s="50">
        <f>IF(S66=0,"",INDEX(Escaleta!$I$1:$I$504,S66))</f>
        <v/>
      </c>
    </row>
    <row r="67" ht="18" customHeight="1">
      <c r="A67" s="48">
        <f>IF(A66="","",IF(A66+Configuración!$C$7/1440&gt;Configuración!$C$6-0.0001,"",A66+Configuración!$C$7/1440))</f>
        <v/>
      </c>
      <c r="B67" s="49">
        <f>IF(L67=0,"",IF(L67&lt;&gt;L66,INDEX(Escaleta!$F$1:$F$504,L67),IF(L67&lt;&gt;L65,TEXT(INDEX(Escaleta!$C$1:$C$504,L67),"hh:mm")&amp;"–"&amp;TEXT(INDEX(Escaleta!$E$1:$E$504,L67),"hh:mm"),"")))</f>
        <v/>
      </c>
      <c r="C67" s="49">
        <f>IF(M67=0,"",IF(M67&lt;&gt;M66,INDEX(Escaleta!$F$1:$F$504,M67),IF(M67&lt;&gt;M65,TEXT(INDEX(Escaleta!$C$1:$C$504,M67),"hh:mm")&amp;"–"&amp;TEXT(INDEX(Escaleta!$E$1:$E$504,M67),"hh:mm"),"")))</f>
        <v/>
      </c>
      <c r="D67" s="49">
        <f>IF(N67=0,"",IF(N67&lt;&gt;N66,INDEX(Escaleta!$F$1:$F$504,N67),IF(N67&lt;&gt;N65,TEXT(INDEX(Escaleta!$C$1:$C$504,N67),"hh:mm")&amp;"–"&amp;TEXT(INDEX(Escaleta!$E$1:$E$504,N67),"hh:mm"),"")))</f>
        <v/>
      </c>
      <c r="E67" s="49">
        <f>IF(O67=0,"",IF(O67&lt;&gt;O66,INDEX(Escaleta!$F$1:$F$504,O67),IF(O67&lt;&gt;O65,TEXT(INDEX(Escaleta!$C$1:$C$504,O67),"hh:mm")&amp;"–"&amp;TEXT(INDEX(Escaleta!$E$1:$E$504,O67),"hh:mm"),"")))</f>
        <v/>
      </c>
      <c r="F67" s="49">
        <f>IF(P67=0,"",IF(P67&lt;&gt;P66,INDEX(Escaleta!$F$1:$F$504,P67),IF(P67&lt;&gt;P65,TEXT(INDEX(Escaleta!$C$1:$C$504,P67),"hh:mm")&amp;"–"&amp;TEXT(INDEX(Escaleta!$E$1:$E$504,P67),"hh:mm"),"")))</f>
        <v/>
      </c>
      <c r="G67" s="49">
        <f>IF(Q67=0,"",IF(Q67&lt;&gt;Q66,INDEX(Escaleta!$F$1:$F$504,Q67),IF(Q67&lt;&gt;Q65,TEXT(INDEX(Escaleta!$C$1:$C$504,Q67),"hh:mm")&amp;"–"&amp;TEXT(INDEX(Escaleta!$E$1:$E$504,Q67),"hh:mm"),"")))</f>
        <v/>
      </c>
      <c r="H67" s="49">
        <f>IF(R67=0,"",IF(R67&lt;&gt;R66,INDEX(Escaleta!$F$1:$F$504,R67),IF(R67&lt;&gt;R65,TEXT(INDEX(Escaleta!$C$1:$C$504,R67),"hh:mm")&amp;"–"&amp;TEXT(INDEX(Escaleta!$E$1:$E$504,R67),"hh:mm"),"")))</f>
        <v/>
      </c>
      <c r="I67" s="49">
        <f>IF(S67=0,"",IF(S67&lt;&gt;S66,INDEX(Escaleta!$F$1:$F$504,S67),IF(S67&lt;&gt;S65,TEXT(INDEX(Escaleta!$C$1:$C$504,S67),"hh:mm")&amp;"–"&amp;TEXT(INDEX(Escaleta!$E$1:$E$504,S67),"hh:mm"),"")))</f>
        <v/>
      </c>
      <c r="L67" s="50">
        <f>IF(OR($A67="",B$6=""),0,SUMPRODUCT(MAX((Escaleta!$A$5:$A$504=$B$4)*(Escaleta!$H$5:$H$504=B$6)*(Escaleta!$K$5:$K$504&lt;&gt;"Cancelada")*(Escaleta!$C$5:$C$504&lt;$A67+Configuración!$C$7/1440)*(Escaleta!$E$5:$E$504&gt;$A67)*ROW(Escaleta!$A$5:$A$504))))</f>
        <v/>
      </c>
      <c r="M67" s="50">
        <f>IF(OR($A67="",C$6=""),0,SUMPRODUCT(MAX((Escaleta!$A$5:$A$504=$B$4)*(Escaleta!$H$5:$H$504=C$6)*(Escaleta!$K$5:$K$504&lt;&gt;"Cancelada")*(Escaleta!$C$5:$C$504&lt;$A67+Configuración!$C$7/1440)*(Escaleta!$E$5:$E$504&gt;$A67)*ROW(Escaleta!$A$5:$A$504))))</f>
        <v/>
      </c>
      <c r="N67" s="50">
        <f>IF(OR($A67="",D$6=""),0,SUMPRODUCT(MAX((Escaleta!$A$5:$A$504=$B$4)*(Escaleta!$H$5:$H$504=D$6)*(Escaleta!$K$5:$K$504&lt;&gt;"Cancelada")*(Escaleta!$C$5:$C$504&lt;$A67+Configuración!$C$7/1440)*(Escaleta!$E$5:$E$504&gt;$A67)*ROW(Escaleta!$A$5:$A$504))))</f>
        <v/>
      </c>
      <c r="O67" s="50">
        <f>IF(OR($A67="",E$6=""),0,SUMPRODUCT(MAX((Escaleta!$A$5:$A$504=$B$4)*(Escaleta!$H$5:$H$504=E$6)*(Escaleta!$K$5:$K$504&lt;&gt;"Cancelada")*(Escaleta!$C$5:$C$504&lt;$A67+Configuración!$C$7/1440)*(Escaleta!$E$5:$E$504&gt;$A67)*ROW(Escaleta!$A$5:$A$504))))</f>
        <v/>
      </c>
      <c r="P67" s="50">
        <f>IF(OR($A67="",F$6=""),0,SUMPRODUCT(MAX((Escaleta!$A$5:$A$504=$B$4)*(Escaleta!$H$5:$H$504=F$6)*(Escaleta!$K$5:$K$504&lt;&gt;"Cancelada")*(Escaleta!$C$5:$C$504&lt;$A67+Configuración!$C$7/1440)*(Escaleta!$E$5:$E$504&gt;$A67)*ROW(Escaleta!$A$5:$A$504))))</f>
        <v/>
      </c>
      <c r="Q67" s="50">
        <f>IF(OR($A67="",G$6=""),0,SUMPRODUCT(MAX((Escaleta!$A$5:$A$504=$B$4)*(Escaleta!$H$5:$H$504=G$6)*(Escaleta!$K$5:$K$504&lt;&gt;"Cancelada")*(Escaleta!$C$5:$C$504&lt;$A67+Configuración!$C$7/1440)*(Escaleta!$E$5:$E$504&gt;$A67)*ROW(Escaleta!$A$5:$A$504))))</f>
        <v/>
      </c>
      <c r="R67" s="50">
        <f>IF(OR($A67="",H$6=""),0,SUMPRODUCT(MAX((Escaleta!$A$5:$A$504=$B$4)*(Escaleta!$H$5:$H$504=H$6)*(Escaleta!$K$5:$K$504&lt;&gt;"Cancelada")*(Escaleta!$C$5:$C$504&lt;$A67+Configuración!$C$7/1440)*(Escaleta!$E$5:$E$504&gt;$A67)*ROW(Escaleta!$A$5:$A$504))))</f>
        <v/>
      </c>
      <c r="S67" s="50">
        <f>IF(OR($A67="",I$6=""),0,SUMPRODUCT(MAX((Escaleta!$A$5:$A$504=$B$4)*(Escaleta!$H$5:$H$504=I$6)*(Escaleta!$K$5:$K$504&lt;&gt;"Cancelada")*(Escaleta!$C$5:$C$504&lt;$A67+Configuración!$C$7/1440)*(Escaleta!$E$5:$E$504&gt;$A67)*ROW(Escaleta!$A$5:$A$504))))</f>
        <v/>
      </c>
      <c r="U67" s="50">
        <f>IF(L67=0,"",INDEX(Escaleta!$I$1:$I$504,L67))</f>
        <v/>
      </c>
      <c r="V67" s="50">
        <f>IF(M67=0,"",INDEX(Escaleta!$I$1:$I$504,M67))</f>
        <v/>
      </c>
      <c r="W67" s="50">
        <f>IF(N67=0,"",INDEX(Escaleta!$I$1:$I$504,N67))</f>
        <v/>
      </c>
      <c r="X67" s="50">
        <f>IF(O67=0,"",INDEX(Escaleta!$I$1:$I$504,O67))</f>
        <v/>
      </c>
      <c r="Y67" s="50">
        <f>IF(P67=0,"",INDEX(Escaleta!$I$1:$I$504,P67))</f>
        <v/>
      </c>
      <c r="Z67" s="50">
        <f>IF(Q67=0,"",INDEX(Escaleta!$I$1:$I$504,Q67))</f>
        <v/>
      </c>
      <c r="AA67" s="50">
        <f>IF(R67=0,"",INDEX(Escaleta!$I$1:$I$504,R67))</f>
        <v/>
      </c>
      <c r="AB67" s="50">
        <f>IF(S67=0,"",INDEX(Escaleta!$I$1:$I$504,S67))</f>
        <v/>
      </c>
    </row>
    <row r="68" ht="18" customHeight="1">
      <c r="A68" s="48">
        <f>IF(A67="","",IF(A67+Configuración!$C$7/1440&gt;Configuración!$C$6-0.0001,"",A67+Configuración!$C$7/1440))</f>
        <v/>
      </c>
      <c r="B68" s="49">
        <f>IF(L68=0,"",IF(L68&lt;&gt;L67,INDEX(Escaleta!$F$1:$F$504,L68),IF(L68&lt;&gt;L66,TEXT(INDEX(Escaleta!$C$1:$C$504,L68),"hh:mm")&amp;"–"&amp;TEXT(INDEX(Escaleta!$E$1:$E$504,L68),"hh:mm"),"")))</f>
        <v/>
      </c>
      <c r="C68" s="49">
        <f>IF(M68=0,"",IF(M68&lt;&gt;M67,INDEX(Escaleta!$F$1:$F$504,M68),IF(M68&lt;&gt;M66,TEXT(INDEX(Escaleta!$C$1:$C$504,M68),"hh:mm")&amp;"–"&amp;TEXT(INDEX(Escaleta!$E$1:$E$504,M68),"hh:mm"),"")))</f>
        <v/>
      </c>
      <c r="D68" s="49">
        <f>IF(N68=0,"",IF(N68&lt;&gt;N67,INDEX(Escaleta!$F$1:$F$504,N68),IF(N68&lt;&gt;N66,TEXT(INDEX(Escaleta!$C$1:$C$504,N68),"hh:mm")&amp;"–"&amp;TEXT(INDEX(Escaleta!$E$1:$E$504,N68),"hh:mm"),"")))</f>
        <v/>
      </c>
      <c r="E68" s="49">
        <f>IF(O68=0,"",IF(O68&lt;&gt;O67,INDEX(Escaleta!$F$1:$F$504,O68),IF(O68&lt;&gt;O66,TEXT(INDEX(Escaleta!$C$1:$C$504,O68),"hh:mm")&amp;"–"&amp;TEXT(INDEX(Escaleta!$E$1:$E$504,O68),"hh:mm"),"")))</f>
        <v/>
      </c>
      <c r="F68" s="49">
        <f>IF(P68=0,"",IF(P68&lt;&gt;P67,INDEX(Escaleta!$F$1:$F$504,P68),IF(P68&lt;&gt;P66,TEXT(INDEX(Escaleta!$C$1:$C$504,P68),"hh:mm")&amp;"–"&amp;TEXT(INDEX(Escaleta!$E$1:$E$504,P68),"hh:mm"),"")))</f>
        <v/>
      </c>
      <c r="G68" s="49">
        <f>IF(Q68=0,"",IF(Q68&lt;&gt;Q67,INDEX(Escaleta!$F$1:$F$504,Q68),IF(Q68&lt;&gt;Q66,TEXT(INDEX(Escaleta!$C$1:$C$504,Q68),"hh:mm")&amp;"–"&amp;TEXT(INDEX(Escaleta!$E$1:$E$504,Q68),"hh:mm"),"")))</f>
        <v/>
      </c>
      <c r="H68" s="49">
        <f>IF(R68=0,"",IF(R68&lt;&gt;R67,INDEX(Escaleta!$F$1:$F$504,R68),IF(R68&lt;&gt;R66,TEXT(INDEX(Escaleta!$C$1:$C$504,R68),"hh:mm")&amp;"–"&amp;TEXT(INDEX(Escaleta!$E$1:$E$504,R68),"hh:mm"),"")))</f>
        <v/>
      </c>
      <c r="I68" s="49">
        <f>IF(S68=0,"",IF(S68&lt;&gt;S67,INDEX(Escaleta!$F$1:$F$504,S68),IF(S68&lt;&gt;S66,TEXT(INDEX(Escaleta!$C$1:$C$504,S68),"hh:mm")&amp;"–"&amp;TEXT(INDEX(Escaleta!$E$1:$E$504,S68),"hh:mm"),"")))</f>
        <v/>
      </c>
      <c r="L68" s="50">
        <f>IF(OR($A68="",B$6=""),0,SUMPRODUCT(MAX((Escaleta!$A$5:$A$504=$B$4)*(Escaleta!$H$5:$H$504=B$6)*(Escaleta!$K$5:$K$504&lt;&gt;"Cancelada")*(Escaleta!$C$5:$C$504&lt;$A68+Configuración!$C$7/1440)*(Escaleta!$E$5:$E$504&gt;$A68)*ROW(Escaleta!$A$5:$A$504))))</f>
        <v/>
      </c>
      <c r="M68" s="50">
        <f>IF(OR($A68="",C$6=""),0,SUMPRODUCT(MAX((Escaleta!$A$5:$A$504=$B$4)*(Escaleta!$H$5:$H$504=C$6)*(Escaleta!$K$5:$K$504&lt;&gt;"Cancelada")*(Escaleta!$C$5:$C$504&lt;$A68+Configuración!$C$7/1440)*(Escaleta!$E$5:$E$504&gt;$A68)*ROW(Escaleta!$A$5:$A$504))))</f>
        <v/>
      </c>
      <c r="N68" s="50">
        <f>IF(OR($A68="",D$6=""),0,SUMPRODUCT(MAX((Escaleta!$A$5:$A$504=$B$4)*(Escaleta!$H$5:$H$504=D$6)*(Escaleta!$K$5:$K$504&lt;&gt;"Cancelada")*(Escaleta!$C$5:$C$504&lt;$A68+Configuración!$C$7/1440)*(Escaleta!$E$5:$E$504&gt;$A68)*ROW(Escaleta!$A$5:$A$504))))</f>
        <v/>
      </c>
      <c r="O68" s="50">
        <f>IF(OR($A68="",E$6=""),0,SUMPRODUCT(MAX((Escaleta!$A$5:$A$504=$B$4)*(Escaleta!$H$5:$H$504=E$6)*(Escaleta!$K$5:$K$504&lt;&gt;"Cancelada")*(Escaleta!$C$5:$C$504&lt;$A68+Configuración!$C$7/1440)*(Escaleta!$E$5:$E$504&gt;$A68)*ROW(Escaleta!$A$5:$A$504))))</f>
        <v/>
      </c>
      <c r="P68" s="50">
        <f>IF(OR($A68="",F$6=""),0,SUMPRODUCT(MAX((Escaleta!$A$5:$A$504=$B$4)*(Escaleta!$H$5:$H$504=F$6)*(Escaleta!$K$5:$K$504&lt;&gt;"Cancelada")*(Escaleta!$C$5:$C$504&lt;$A68+Configuración!$C$7/1440)*(Escaleta!$E$5:$E$504&gt;$A68)*ROW(Escaleta!$A$5:$A$504))))</f>
        <v/>
      </c>
      <c r="Q68" s="50">
        <f>IF(OR($A68="",G$6=""),0,SUMPRODUCT(MAX((Escaleta!$A$5:$A$504=$B$4)*(Escaleta!$H$5:$H$504=G$6)*(Escaleta!$K$5:$K$504&lt;&gt;"Cancelada")*(Escaleta!$C$5:$C$504&lt;$A68+Configuración!$C$7/1440)*(Escaleta!$E$5:$E$504&gt;$A68)*ROW(Escaleta!$A$5:$A$504))))</f>
        <v/>
      </c>
      <c r="R68" s="50">
        <f>IF(OR($A68="",H$6=""),0,SUMPRODUCT(MAX((Escaleta!$A$5:$A$504=$B$4)*(Escaleta!$H$5:$H$504=H$6)*(Escaleta!$K$5:$K$504&lt;&gt;"Cancelada")*(Escaleta!$C$5:$C$504&lt;$A68+Configuración!$C$7/1440)*(Escaleta!$E$5:$E$504&gt;$A68)*ROW(Escaleta!$A$5:$A$504))))</f>
        <v/>
      </c>
      <c r="S68" s="50">
        <f>IF(OR($A68="",I$6=""),0,SUMPRODUCT(MAX((Escaleta!$A$5:$A$504=$B$4)*(Escaleta!$H$5:$H$504=I$6)*(Escaleta!$K$5:$K$504&lt;&gt;"Cancelada")*(Escaleta!$C$5:$C$504&lt;$A68+Configuración!$C$7/1440)*(Escaleta!$E$5:$E$504&gt;$A68)*ROW(Escaleta!$A$5:$A$504))))</f>
        <v/>
      </c>
      <c r="U68" s="50">
        <f>IF(L68=0,"",INDEX(Escaleta!$I$1:$I$504,L68))</f>
        <v/>
      </c>
      <c r="V68" s="50">
        <f>IF(M68=0,"",INDEX(Escaleta!$I$1:$I$504,M68))</f>
        <v/>
      </c>
      <c r="W68" s="50">
        <f>IF(N68=0,"",INDEX(Escaleta!$I$1:$I$504,N68))</f>
        <v/>
      </c>
      <c r="X68" s="50">
        <f>IF(O68=0,"",INDEX(Escaleta!$I$1:$I$504,O68))</f>
        <v/>
      </c>
      <c r="Y68" s="50">
        <f>IF(P68=0,"",INDEX(Escaleta!$I$1:$I$504,P68))</f>
        <v/>
      </c>
      <c r="Z68" s="50">
        <f>IF(Q68=0,"",INDEX(Escaleta!$I$1:$I$504,Q68))</f>
        <v/>
      </c>
      <c r="AA68" s="50">
        <f>IF(R68=0,"",INDEX(Escaleta!$I$1:$I$504,R68))</f>
        <v/>
      </c>
      <c r="AB68" s="50">
        <f>IF(S68=0,"",INDEX(Escaleta!$I$1:$I$504,S68))</f>
        <v/>
      </c>
    </row>
    <row r="69" ht="18" customHeight="1">
      <c r="A69" s="48">
        <f>IF(A68="","",IF(A68+Configuración!$C$7/1440&gt;Configuración!$C$6-0.0001,"",A68+Configuración!$C$7/1440))</f>
        <v/>
      </c>
      <c r="B69" s="49">
        <f>IF(L69=0,"",IF(L69&lt;&gt;L68,INDEX(Escaleta!$F$1:$F$504,L69),IF(L69&lt;&gt;L67,TEXT(INDEX(Escaleta!$C$1:$C$504,L69),"hh:mm")&amp;"–"&amp;TEXT(INDEX(Escaleta!$E$1:$E$504,L69),"hh:mm"),"")))</f>
        <v/>
      </c>
      <c r="C69" s="49">
        <f>IF(M69=0,"",IF(M69&lt;&gt;M68,INDEX(Escaleta!$F$1:$F$504,M69),IF(M69&lt;&gt;M67,TEXT(INDEX(Escaleta!$C$1:$C$504,M69),"hh:mm")&amp;"–"&amp;TEXT(INDEX(Escaleta!$E$1:$E$504,M69),"hh:mm"),"")))</f>
        <v/>
      </c>
      <c r="D69" s="49">
        <f>IF(N69=0,"",IF(N69&lt;&gt;N68,INDEX(Escaleta!$F$1:$F$504,N69),IF(N69&lt;&gt;N67,TEXT(INDEX(Escaleta!$C$1:$C$504,N69),"hh:mm")&amp;"–"&amp;TEXT(INDEX(Escaleta!$E$1:$E$504,N69),"hh:mm"),"")))</f>
        <v/>
      </c>
      <c r="E69" s="49">
        <f>IF(O69=0,"",IF(O69&lt;&gt;O68,INDEX(Escaleta!$F$1:$F$504,O69),IF(O69&lt;&gt;O67,TEXT(INDEX(Escaleta!$C$1:$C$504,O69),"hh:mm")&amp;"–"&amp;TEXT(INDEX(Escaleta!$E$1:$E$504,O69),"hh:mm"),"")))</f>
        <v/>
      </c>
      <c r="F69" s="49">
        <f>IF(P69=0,"",IF(P69&lt;&gt;P68,INDEX(Escaleta!$F$1:$F$504,P69),IF(P69&lt;&gt;P67,TEXT(INDEX(Escaleta!$C$1:$C$504,P69),"hh:mm")&amp;"–"&amp;TEXT(INDEX(Escaleta!$E$1:$E$504,P69),"hh:mm"),"")))</f>
        <v/>
      </c>
      <c r="G69" s="49">
        <f>IF(Q69=0,"",IF(Q69&lt;&gt;Q68,INDEX(Escaleta!$F$1:$F$504,Q69),IF(Q69&lt;&gt;Q67,TEXT(INDEX(Escaleta!$C$1:$C$504,Q69),"hh:mm")&amp;"–"&amp;TEXT(INDEX(Escaleta!$E$1:$E$504,Q69),"hh:mm"),"")))</f>
        <v/>
      </c>
      <c r="H69" s="49">
        <f>IF(R69=0,"",IF(R69&lt;&gt;R68,INDEX(Escaleta!$F$1:$F$504,R69),IF(R69&lt;&gt;R67,TEXT(INDEX(Escaleta!$C$1:$C$504,R69),"hh:mm")&amp;"–"&amp;TEXT(INDEX(Escaleta!$E$1:$E$504,R69),"hh:mm"),"")))</f>
        <v/>
      </c>
      <c r="I69" s="49">
        <f>IF(S69=0,"",IF(S69&lt;&gt;S68,INDEX(Escaleta!$F$1:$F$504,S69),IF(S69&lt;&gt;S67,TEXT(INDEX(Escaleta!$C$1:$C$504,S69),"hh:mm")&amp;"–"&amp;TEXT(INDEX(Escaleta!$E$1:$E$504,S69),"hh:mm"),"")))</f>
        <v/>
      </c>
      <c r="L69" s="50">
        <f>IF(OR($A69="",B$6=""),0,SUMPRODUCT(MAX((Escaleta!$A$5:$A$504=$B$4)*(Escaleta!$H$5:$H$504=B$6)*(Escaleta!$K$5:$K$504&lt;&gt;"Cancelada")*(Escaleta!$C$5:$C$504&lt;$A69+Configuración!$C$7/1440)*(Escaleta!$E$5:$E$504&gt;$A69)*ROW(Escaleta!$A$5:$A$504))))</f>
        <v/>
      </c>
      <c r="M69" s="50">
        <f>IF(OR($A69="",C$6=""),0,SUMPRODUCT(MAX((Escaleta!$A$5:$A$504=$B$4)*(Escaleta!$H$5:$H$504=C$6)*(Escaleta!$K$5:$K$504&lt;&gt;"Cancelada")*(Escaleta!$C$5:$C$504&lt;$A69+Configuración!$C$7/1440)*(Escaleta!$E$5:$E$504&gt;$A69)*ROW(Escaleta!$A$5:$A$504))))</f>
        <v/>
      </c>
      <c r="N69" s="50">
        <f>IF(OR($A69="",D$6=""),0,SUMPRODUCT(MAX((Escaleta!$A$5:$A$504=$B$4)*(Escaleta!$H$5:$H$504=D$6)*(Escaleta!$K$5:$K$504&lt;&gt;"Cancelada")*(Escaleta!$C$5:$C$504&lt;$A69+Configuración!$C$7/1440)*(Escaleta!$E$5:$E$504&gt;$A69)*ROW(Escaleta!$A$5:$A$504))))</f>
        <v/>
      </c>
      <c r="O69" s="50">
        <f>IF(OR($A69="",E$6=""),0,SUMPRODUCT(MAX((Escaleta!$A$5:$A$504=$B$4)*(Escaleta!$H$5:$H$504=E$6)*(Escaleta!$K$5:$K$504&lt;&gt;"Cancelada")*(Escaleta!$C$5:$C$504&lt;$A69+Configuración!$C$7/1440)*(Escaleta!$E$5:$E$504&gt;$A69)*ROW(Escaleta!$A$5:$A$504))))</f>
        <v/>
      </c>
      <c r="P69" s="50">
        <f>IF(OR($A69="",F$6=""),0,SUMPRODUCT(MAX((Escaleta!$A$5:$A$504=$B$4)*(Escaleta!$H$5:$H$504=F$6)*(Escaleta!$K$5:$K$504&lt;&gt;"Cancelada")*(Escaleta!$C$5:$C$504&lt;$A69+Configuración!$C$7/1440)*(Escaleta!$E$5:$E$504&gt;$A69)*ROW(Escaleta!$A$5:$A$504))))</f>
        <v/>
      </c>
      <c r="Q69" s="50">
        <f>IF(OR($A69="",G$6=""),0,SUMPRODUCT(MAX((Escaleta!$A$5:$A$504=$B$4)*(Escaleta!$H$5:$H$504=G$6)*(Escaleta!$K$5:$K$504&lt;&gt;"Cancelada")*(Escaleta!$C$5:$C$504&lt;$A69+Configuración!$C$7/1440)*(Escaleta!$E$5:$E$504&gt;$A69)*ROW(Escaleta!$A$5:$A$504))))</f>
        <v/>
      </c>
      <c r="R69" s="50">
        <f>IF(OR($A69="",H$6=""),0,SUMPRODUCT(MAX((Escaleta!$A$5:$A$504=$B$4)*(Escaleta!$H$5:$H$504=H$6)*(Escaleta!$K$5:$K$504&lt;&gt;"Cancelada")*(Escaleta!$C$5:$C$504&lt;$A69+Configuración!$C$7/1440)*(Escaleta!$E$5:$E$504&gt;$A69)*ROW(Escaleta!$A$5:$A$504))))</f>
        <v/>
      </c>
      <c r="S69" s="50">
        <f>IF(OR($A69="",I$6=""),0,SUMPRODUCT(MAX((Escaleta!$A$5:$A$504=$B$4)*(Escaleta!$H$5:$H$504=I$6)*(Escaleta!$K$5:$K$504&lt;&gt;"Cancelada")*(Escaleta!$C$5:$C$504&lt;$A69+Configuración!$C$7/1440)*(Escaleta!$E$5:$E$504&gt;$A69)*ROW(Escaleta!$A$5:$A$504))))</f>
        <v/>
      </c>
      <c r="U69" s="50">
        <f>IF(L69=0,"",INDEX(Escaleta!$I$1:$I$504,L69))</f>
        <v/>
      </c>
      <c r="V69" s="50">
        <f>IF(M69=0,"",INDEX(Escaleta!$I$1:$I$504,M69))</f>
        <v/>
      </c>
      <c r="W69" s="50">
        <f>IF(N69=0,"",INDEX(Escaleta!$I$1:$I$504,N69))</f>
        <v/>
      </c>
      <c r="X69" s="50">
        <f>IF(O69=0,"",INDEX(Escaleta!$I$1:$I$504,O69))</f>
        <v/>
      </c>
      <c r="Y69" s="50">
        <f>IF(P69=0,"",INDEX(Escaleta!$I$1:$I$504,P69))</f>
        <v/>
      </c>
      <c r="Z69" s="50">
        <f>IF(Q69=0,"",INDEX(Escaleta!$I$1:$I$504,Q69))</f>
        <v/>
      </c>
      <c r="AA69" s="50">
        <f>IF(R69=0,"",INDEX(Escaleta!$I$1:$I$504,R69))</f>
        <v/>
      </c>
      <c r="AB69" s="50">
        <f>IF(S69=0,"",INDEX(Escaleta!$I$1:$I$504,S69))</f>
        <v/>
      </c>
    </row>
    <row r="70" ht="18" customHeight="1">
      <c r="A70" s="48">
        <f>IF(A69="","",IF(A69+Configuración!$C$7/1440&gt;Configuración!$C$6-0.0001,"",A69+Configuración!$C$7/1440))</f>
        <v/>
      </c>
      <c r="B70" s="49">
        <f>IF(L70=0,"",IF(L70&lt;&gt;L69,INDEX(Escaleta!$F$1:$F$504,L70),IF(L70&lt;&gt;L68,TEXT(INDEX(Escaleta!$C$1:$C$504,L70),"hh:mm")&amp;"–"&amp;TEXT(INDEX(Escaleta!$E$1:$E$504,L70),"hh:mm"),"")))</f>
        <v/>
      </c>
      <c r="C70" s="49">
        <f>IF(M70=0,"",IF(M70&lt;&gt;M69,INDEX(Escaleta!$F$1:$F$504,M70),IF(M70&lt;&gt;M68,TEXT(INDEX(Escaleta!$C$1:$C$504,M70),"hh:mm")&amp;"–"&amp;TEXT(INDEX(Escaleta!$E$1:$E$504,M70),"hh:mm"),"")))</f>
        <v/>
      </c>
      <c r="D70" s="49">
        <f>IF(N70=0,"",IF(N70&lt;&gt;N69,INDEX(Escaleta!$F$1:$F$504,N70),IF(N70&lt;&gt;N68,TEXT(INDEX(Escaleta!$C$1:$C$504,N70),"hh:mm")&amp;"–"&amp;TEXT(INDEX(Escaleta!$E$1:$E$504,N70),"hh:mm"),"")))</f>
        <v/>
      </c>
      <c r="E70" s="49">
        <f>IF(O70=0,"",IF(O70&lt;&gt;O69,INDEX(Escaleta!$F$1:$F$504,O70),IF(O70&lt;&gt;O68,TEXT(INDEX(Escaleta!$C$1:$C$504,O70),"hh:mm")&amp;"–"&amp;TEXT(INDEX(Escaleta!$E$1:$E$504,O70),"hh:mm"),"")))</f>
        <v/>
      </c>
      <c r="F70" s="49">
        <f>IF(P70=0,"",IF(P70&lt;&gt;P69,INDEX(Escaleta!$F$1:$F$504,P70),IF(P70&lt;&gt;P68,TEXT(INDEX(Escaleta!$C$1:$C$504,P70),"hh:mm")&amp;"–"&amp;TEXT(INDEX(Escaleta!$E$1:$E$504,P70),"hh:mm"),"")))</f>
        <v/>
      </c>
      <c r="G70" s="49">
        <f>IF(Q70=0,"",IF(Q70&lt;&gt;Q69,INDEX(Escaleta!$F$1:$F$504,Q70),IF(Q70&lt;&gt;Q68,TEXT(INDEX(Escaleta!$C$1:$C$504,Q70),"hh:mm")&amp;"–"&amp;TEXT(INDEX(Escaleta!$E$1:$E$504,Q70),"hh:mm"),"")))</f>
        <v/>
      </c>
      <c r="H70" s="49">
        <f>IF(R70=0,"",IF(R70&lt;&gt;R69,INDEX(Escaleta!$F$1:$F$504,R70),IF(R70&lt;&gt;R68,TEXT(INDEX(Escaleta!$C$1:$C$504,R70),"hh:mm")&amp;"–"&amp;TEXT(INDEX(Escaleta!$E$1:$E$504,R70),"hh:mm"),"")))</f>
        <v/>
      </c>
      <c r="I70" s="49">
        <f>IF(S70=0,"",IF(S70&lt;&gt;S69,INDEX(Escaleta!$F$1:$F$504,S70),IF(S70&lt;&gt;S68,TEXT(INDEX(Escaleta!$C$1:$C$504,S70),"hh:mm")&amp;"–"&amp;TEXT(INDEX(Escaleta!$E$1:$E$504,S70),"hh:mm"),"")))</f>
        <v/>
      </c>
      <c r="L70" s="50">
        <f>IF(OR($A70="",B$6=""),0,SUMPRODUCT(MAX((Escaleta!$A$5:$A$504=$B$4)*(Escaleta!$H$5:$H$504=B$6)*(Escaleta!$K$5:$K$504&lt;&gt;"Cancelada")*(Escaleta!$C$5:$C$504&lt;$A70+Configuración!$C$7/1440)*(Escaleta!$E$5:$E$504&gt;$A70)*ROW(Escaleta!$A$5:$A$504))))</f>
        <v/>
      </c>
      <c r="M70" s="50">
        <f>IF(OR($A70="",C$6=""),0,SUMPRODUCT(MAX((Escaleta!$A$5:$A$504=$B$4)*(Escaleta!$H$5:$H$504=C$6)*(Escaleta!$K$5:$K$504&lt;&gt;"Cancelada")*(Escaleta!$C$5:$C$504&lt;$A70+Configuración!$C$7/1440)*(Escaleta!$E$5:$E$504&gt;$A70)*ROW(Escaleta!$A$5:$A$504))))</f>
        <v/>
      </c>
      <c r="N70" s="50">
        <f>IF(OR($A70="",D$6=""),0,SUMPRODUCT(MAX((Escaleta!$A$5:$A$504=$B$4)*(Escaleta!$H$5:$H$504=D$6)*(Escaleta!$K$5:$K$504&lt;&gt;"Cancelada")*(Escaleta!$C$5:$C$504&lt;$A70+Configuración!$C$7/1440)*(Escaleta!$E$5:$E$504&gt;$A70)*ROW(Escaleta!$A$5:$A$504))))</f>
        <v/>
      </c>
      <c r="O70" s="50">
        <f>IF(OR($A70="",E$6=""),0,SUMPRODUCT(MAX((Escaleta!$A$5:$A$504=$B$4)*(Escaleta!$H$5:$H$504=E$6)*(Escaleta!$K$5:$K$504&lt;&gt;"Cancelada")*(Escaleta!$C$5:$C$504&lt;$A70+Configuración!$C$7/1440)*(Escaleta!$E$5:$E$504&gt;$A70)*ROW(Escaleta!$A$5:$A$504))))</f>
        <v/>
      </c>
      <c r="P70" s="50">
        <f>IF(OR($A70="",F$6=""),0,SUMPRODUCT(MAX((Escaleta!$A$5:$A$504=$B$4)*(Escaleta!$H$5:$H$504=F$6)*(Escaleta!$K$5:$K$504&lt;&gt;"Cancelada")*(Escaleta!$C$5:$C$504&lt;$A70+Configuración!$C$7/1440)*(Escaleta!$E$5:$E$504&gt;$A70)*ROW(Escaleta!$A$5:$A$504))))</f>
        <v/>
      </c>
      <c r="Q70" s="50">
        <f>IF(OR($A70="",G$6=""),0,SUMPRODUCT(MAX((Escaleta!$A$5:$A$504=$B$4)*(Escaleta!$H$5:$H$504=G$6)*(Escaleta!$K$5:$K$504&lt;&gt;"Cancelada")*(Escaleta!$C$5:$C$504&lt;$A70+Configuración!$C$7/1440)*(Escaleta!$E$5:$E$504&gt;$A70)*ROW(Escaleta!$A$5:$A$504))))</f>
        <v/>
      </c>
      <c r="R70" s="50">
        <f>IF(OR($A70="",H$6=""),0,SUMPRODUCT(MAX((Escaleta!$A$5:$A$504=$B$4)*(Escaleta!$H$5:$H$504=H$6)*(Escaleta!$K$5:$K$504&lt;&gt;"Cancelada")*(Escaleta!$C$5:$C$504&lt;$A70+Configuración!$C$7/1440)*(Escaleta!$E$5:$E$504&gt;$A70)*ROW(Escaleta!$A$5:$A$504))))</f>
        <v/>
      </c>
      <c r="S70" s="50">
        <f>IF(OR($A70="",I$6=""),0,SUMPRODUCT(MAX((Escaleta!$A$5:$A$504=$B$4)*(Escaleta!$H$5:$H$504=I$6)*(Escaleta!$K$5:$K$504&lt;&gt;"Cancelada")*(Escaleta!$C$5:$C$504&lt;$A70+Configuración!$C$7/1440)*(Escaleta!$E$5:$E$504&gt;$A70)*ROW(Escaleta!$A$5:$A$504))))</f>
        <v/>
      </c>
      <c r="U70" s="50">
        <f>IF(L70=0,"",INDEX(Escaleta!$I$1:$I$504,L70))</f>
        <v/>
      </c>
      <c r="V70" s="50">
        <f>IF(M70=0,"",INDEX(Escaleta!$I$1:$I$504,M70))</f>
        <v/>
      </c>
      <c r="W70" s="50">
        <f>IF(N70=0,"",INDEX(Escaleta!$I$1:$I$504,N70))</f>
        <v/>
      </c>
      <c r="X70" s="50">
        <f>IF(O70=0,"",INDEX(Escaleta!$I$1:$I$504,O70))</f>
        <v/>
      </c>
      <c r="Y70" s="50">
        <f>IF(P70=0,"",INDEX(Escaleta!$I$1:$I$504,P70))</f>
        <v/>
      </c>
      <c r="Z70" s="50">
        <f>IF(Q70=0,"",INDEX(Escaleta!$I$1:$I$504,Q70))</f>
        <v/>
      </c>
      <c r="AA70" s="50">
        <f>IF(R70=0,"",INDEX(Escaleta!$I$1:$I$504,R70))</f>
        <v/>
      </c>
      <c r="AB70" s="50">
        <f>IF(S70=0,"",INDEX(Escaleta!$I$1:$I$504,S70))</f>
        <v/>
      </c>
    </row>
    <row r="71" ht="18" customHeight="1">
      <c r="A71" s="48">
        <f>IF(A70="","",IF(A70+Configuración!$C$7/1440&gt;Configuración!$C$6-0.0001,"",A70+Configuración!$C$7/1440))</f>
        <v/>
      </c>
      <c r="B71" s="49">
        <f>IF(L71=0,"",IF(L71&lt;&gt;L70,INDEX(Escaleta!$F$1:$F$504,L71),IF(L71&lt;&gt;L69,TEXT(INDEX(Escaleta!$C$1:$C$504,L71),"hh:mm")&amp;"–"&amp;TEXT(INDEX(Escaleta!$E$1:$E$504,L71),"hh:mm"),"")))</f>
        <v/>
      </c>
      <c r="C71" s="49">
        <f>IF(M71=0,"",IF(M71&lt;&gt;M70,INDEX(Escaleta!$F$1:$F$504,M71),IF(M71&lt;&gt;M69,TEXT(INDEX(Escaleta!$C$1:$C$504,M71),"hh:mm")&amp;"–"&amp;TEXT(INDEX(Escaleta!$E$1:$E$504,M71),"hh:mm"),"")))</f>
        <v/>
      </c>
      <c r="D71" s="49">
        <f>IF(N71=0,"",IF(N71&lt;&gt;N70,INDEX(Escaleta!$F$1:$F$504,N71),IF(N71&lt;&gt;N69,TEXT(INDEX(Escaleta!$C$1:$C$504,N71),"hh:mm")&amp;"–"&amp;TEXT(INDEX(Escaleta!$E$1:$E$504,N71),"hh:mm"),"")))</f>
        <v/>
      </c>
      <c r="E71" s="49">
        <f>IF(O71=0,"",IF(O71&lt;&gt;O70,INDEX(Escaleta!$F$1:$F$504,O71),IF(O71&lt;&gt;O69,TEXT(INDEX(Escaleta!$C$1:$C$504,O71),"hh:mm")&amp;"–"&amp;TEXT(INDEX(Escaleta!$E$1:$E$504,O71),"hh:mm"),"")))</f>
        <v/>
      </c>
      <c r="F71" s="49">
        <f>IF(P71=0,"",IF(P71&lt;&gt;P70,INDEX(Escaleta!$F$1:$F$504,P71),IF(P71&lt;&gt;P69,TEXT(INDEX(Escaleta!$C$1:$C$504,P71),"hh:mm")&amp;"–"&amp;TEXT(INDEX(Escaleta!$E$1:$E$504,P71),"hh:mm"),"")))</f>
        <v/>
      </c>
      <c r="G71" s="49">
        <f>IF(Q71=0,"",IF(Q71&lt;&gt;Q70,INDEX(Escaleta!$F$1:$F$504,Q71),IF(Q71&lt;&gt;Q69,TEXT(INDEX(Escaleta!$C$1:$C$504,Q71),"hh:mm")&amp;"–"&amp;TEXT(INDEX(Escaleta!$E$1:$E$504,Q71),"hh:mm"),"")))</f>
        <v/>
      </c>
      <c r="H71" s="49">
        <f>IF(R71=0,"",IF(R71&lt;&gt;R70,INDEX(Escaleta!$F$1:$F$504,R71),IF(R71&lt;&gt;R69,TEXT(INDEX(Escaleta!$C$1:$C$504,R71),"hh:mm")&amp;"–"&amp;TEXT(INDEX(Escaleta!$E$1:$E$504,R71),"hh:mm"),"")))</f>
        <v/>
      </c>
      <c r="I71" s="49">
        <f>IF(S71=0,"",IF(S71&lt;&gt;S70,INDEX(Escaleta!$F$1:$F$504,S71),IF(S71&lt;&gt;S69,TEXT(INDEX(Escaleta!$C$1:$C$504,S71),"hh:mm")&amp;"–"&amp;TEXT(INDEX(Escaleta!$E$1:$E$504,S71),"hh:mm"),"")))</f>
        <v/>
      </c>
      <c r="L71" s="50">
        <f>IF(OR($A71="",B$6=""),0,SUMPRODUCT(MAX((Escaleta!$A$5:$A$504=$B$4)*(Escaleta!$H$5:$H$504=B$6)*(Escaleta!$K$5:$K$504&lt;&gt;"Cancelada")*(Escaleta!$C$5:$C$504&lt;$A71+Configuración!$C$7/1440)*(Escaleta!$E$5:$E$504&gt;$A71)*ROW(Escaleta!$A$5:$A$504))))</f>
        <v/>
      </c>
      <c r="M71" s="50">
        <f>IF(OR($A71="",C$6=""),0,SUMPRODUCT(MAX((Escaleta!$A$5:$A$504=$B$4)*(Escaleta!$H$5:$H$504=C$6)*(Escaleta!$K$5:$K$504&lt;&gt;"Cancelada")*(Escaleta!$C$5:$C$504&lt;$A71+Configuración!$C$7/1440)*(Escaleta!$E$5:$E$504&gt;$A71)*ROW(Escaleta!$A$5:$A$504))))</f>
        <v/>
      </c>
      <c r="N71" s="50">
        <f>IF(OR($A71="",D$6=""),0,SUMPRODUCT(MAX((Escaleta!$A$5:$A$504=$B$4)*(Escaleta!$H$5:$H$504=D$6)*(Escaleta!$K$5:$K$504&lt;&gt;"Cancelada")*(Escaleta!$C$5:$C$504&lt;$A71+Configuración!$C$7/1440)*(Escaleta!$E$5:$E$504&gt;$A71)*ROW(Escaleta!$A$5:$A$504))))</f>
        <v/>
      </c>
      <c r="O71" s="50">
        <f>IF(OR($A71="",E$6=""),0,SUMPRODUCT(MAX((Escaleta!$A$5:$A$504=$B$4)*(Escaleta!$H$5:$H$504=E$6)*(Escaleta!$K$5:$K$504&lt;&gt;"Cancelada")*(Escaleta!$C$5:$C$504&lt;$A71+Configuración!$C$7/1440)*(Escaleta!$E$5:$E$504&gt;$A71)*ROW(Escaleta!$A$5:$A$504))))</f>
        <v/>
      </c>
      <c r="P71" s="50">
        <f>IF(OR($A71="",F$6=""),0,SUMPRODUCT(MAX((Escaleta!$A$5:$A$504=$B$4)*(Escaleta!$H$5:$H$504=F$6)*(Escaleta!$K$5:$K$504&lt;&gt;"Cancelada")*(Escaleta!$C$5:$C$504&lt;$A71+Configuración!$C$7/1440)*(Escaleta!$E$5:$E$504&gt;$A71)*ROW(Escaleta!$A$5:$A$504))))</f>
        <v/>
      </c>
      <c r="Q71" s="50">
        <f>IF(OR($A71="",G$6=""),0,SUMPRODUCT(MAX((Escaleta!$A$5:$A$504=$B$4)*(Escaleta!$H$5:$H$504=G$6)*(Escaleta!$K$5:$K$504&lt;&gt;"Cancelada")*(Escaleta!$C$5:$C$504&lt;$A71+Configuración!$C$7/1440)*(Escaleta!$E$5:$E$504&gt;$A71)*ROW(Escaleta!$A$5:$A$504))))</f>
        <v/>
      </c>
      <c r="R71" s="50">
        <f>IF(OR($A71="",H$6=""),0,SUMPRODUCT(MAX((Escaleta!$A$5:$A$504=$B$4)*(Escaleta!$H$5:$H$504=H$6)*(Escaleta!$K$5:$K$504&lt;&gt;"Cancelada")*(Escaleta!$C$5:$C$504&lt;$A71+Configuración!$C$7/1440)*(Escaleta!$E$5:$E$504&gt;$A71)*ROW(Escaleta!$A$5:$A$504))))</f>
        <v/>
      </c>
      <c r="S71" s="50">
        <f>IF(OR($A71="",I$6=""),0,SUMPRODUCT(MAX((Escaleta!$A$5:$A$504=$B$4)*(Escaleta!$H$5:$H$504=I$6)*(Escaleta!$K$5:$K$504&lt;&gt;"Cancelada")*(Escaleta!$C$5:$C$504&lt;$A71+Configuración!$C$7/1440)*(Escaleta!$E$5:$E$504&gt;$A71)*ROW(Escaleta!$A$5:$A$504))))</f>
        <v/>
      </c>
      <c r="U71" s="50">
        <f>IF(L71=0,"",INDEX(Escaleta!$I$1:$I$504,L71))</f>
        <v/>
      </c>
      <c r="V71" s="50">
        <f>IF(M71=0,"",INDEX(Escaleta!$I$1:$I$504,M71))</f>
        <v/>
      </c>
      <c r="W71" s="50">
        <f>IF(N71=0,"",INDEX(Escaleta!$I$1:$I$504,N71))</f>
        <v/>
      </c>
      <c r="X71" s="50">
        <f>IF(O71=0,"",INDEX(Escaleta!$I$1:$I$504,O71))</f>
        <v/>
      </c>
      <c r="Y71" s="50">
        <f>IF(P71=0,"",INDEX(Escaleta!$I$1:$I$504,P71))</f>
        <v/>
      </c>
      <c r="Z71" s="50">
        <f>IF(Q71=0,"",INDEX(Escaleta!$I$1:$I$504,Q71))</f>
        <v/>
      </c>
      <c r="AA71" s="50">
        <f>IF(R71=0,"",INDEX(Escaleta!$I$1:$I$504,R71))</f>
        <v/>
      </c>
      <c r="AB71" s="50">
        <f>IF(S71=0,"",INDEX(Escaleta!$I$1:$I$504,S71))</f>
        <v/>
      </c>
    </row>
    <row r="72" ht="18" customHeight="1">
      <c r="A72" s="48">
        <f>IF(A71="","",IF(A71+Configuración!$C$7/1440&gt;Configuración!$C$6-0.0001,"",A71+Configuración!$C$7/1440))</f>
        <v/>
      </c>
      <c r="B72" s="49">
        <f>IF(L72=0,"",IF(L72&lt;&gt;L71,INDEX(Escaleta!$F$1:$F$504,L72),IF(L72&lt;&gt;L70,TEXT(INDEX(Escaleta!$C$1:$C$504,L72),"hh:mm")&amp;"–"&amp;TEXT(INDEX(Escaleta!$E$1:$E$504,L72),"hh:mm"),"")))</f>
        <v/>
      </c>
      <c r="C72" s="49">
        <f>IF(M72=0,"",IF(M72&lt;&gt;M71,INDEX(Escaleta!$F$1:$F$504,M72),IF(M72&lt;&gt;M70,TEXT(INDEX(Escaleta!$C$1:$C$504,M72),"hh:mm")&amp;"–"&amp;TEXT(INDEX(Escaleta!$E$1:$E$504,M72),"hh:mm"),"")))</f>
        <v/>
      </c>
      <c r="D72" s="49">
        <f>IF(N72=0,"",IF(N72&lt;&gt;N71,INDEX(Escaleta!$F$1:$F$504,N72),IF(N72&lt;&gt;N70,TEXT(INDEX(Escaleta!$C$1:$C$504,N72),"hh:mm")&amp;"–"&amp;TEXT(INDEX(Escaleta!$E$1:$E$504,N72),"hh:mm"),"")))</f>
        <v/>
      </c>
      <c r="E72" s="49">
        <f>IF(O72=0,"",IF(O72&lt;&gt;O71,INDEX(Escaleta!$F$1:$F$504,O72),IF(O72&lt;&gt;O70,TEXT(INDEX(Escaleta!$C$1:$C$504,O72),"hh:mm")&amp;"–"&amp;TEXT(INDEX(Escaleta!$E$1:$E$504,O72),"hh:mm"),"")))</f>
        <v/>
      </c>
      <c r="F72" s="49">
        <f>IF(P72=0,"",IF(P72&lt;&gt;P71,INDEX(Escaleta!$F$1:$F$504,P72),IF(P72&lt;&gt;P70,TEXT(INDEX(Escaleta!$C$1:$C$504,P72),"hh:mm")&amp;"–"&amp;TEXT(INDEX(Escaleta!$E$1:$E$504,P72),"hh:mm"),"")))</f>
        <v/>
      </c>
      <c r="G72" s="49">
        <f>IF(Q72=0,"",IF(Q72&lt;&gt;Q71,INDEX(Escaleta!$F$1:$F$504,Q72),IF(Q72&lt;&gt;Q70,TEXT(INDEX(Escaleta!$C$1:$C$504,Q72),"hh:mm")&amp;"–"&amp;TEXT(INDEX(Escaleta!$E$1:$E$504,Q72),"hh:mm"),"")))</f>
        <v/>
      </c>
      <c r="H72" s="49">
        <f>IF(R72=0,"",IF(R72&lt;&gt;R71,INDEX(Escaleta!$F$1:$F$504,R72),IF(R72&lt;&gt;R70,TEXT(INDEX(Escaleta!$C$1:$C$504,R72),"hh:mm")&amp;"–"&amp;TEXT(INDEX(Escaleta!$E$1:$E$504,R72),"hh:mm"),"")))</f>
        <v/>
      </c>
      <c r="I72" s="49">
        <f>IF(S72=0,"",IF(S72&lt;&gt;S71,INDEX(Escaleta!$F$1:$F$504,S72),IF(S72&lt;&gt;S70,TEXT(INDEX(Escaleta!$C$1:$C$504,S72),"hh:mm")&amp;"–"&amp;TEXT(INDEX(Escaleta!$E$1:$E$504,S72),"hh:mm"),"")))</f>
        <v/>
      </c>
      <c r="L72" s="50">
        <f>IF(OR($A72="",B$6=""),0,SUMPRODUCT(MAX((Escaleta!$A$5:$A$504=$B$4)*(Escaleta!$H$5:$H$504=B$6)*(Escaleta!$K$5:$K$504&lt;&gt;"Cancelada")*(Escaleta!$C$5:$C$504&lt;$A72+Configuración!$C$7/1440)*(Escaleta!$E$5:$E$504&gt;$A72)*ROW(Escaleta!$A$5:$A$504))))</f>
        <v/>
      </c>
      <c r="M72" s="50">
        <f>IF(OR($A72="",C$6=""),0,SUMPRODUCT(MAX((Escaleta!$A$5:$A$504=$B$4)*(Escaleta!$H$5:$H$504=C$6)*(Escaleta!$K$5:$K$504&lt;&gt;"Cancelada")*(Escaleta!$C$5:$C$504&lt;$A72+Configuración!$C$7/1440)*(Escaleta!$E$5:$E$504&gt;$A72)*ROW(Escaleta!$A$5:$A$504))))</f>
        <v/>
      </c>
      <c r="N72" s="50">
        <f>IF(OR($A72="",D$6=""),0,SUMPRODUCT(MAX((Escaleta!$A$5:$A$504=$B$4)*(Escaleta!$H$5:$H$504=D$6)*(Escaleta!$K$5:$K$504&lt;&gt;"Cancelada")*(Escaleta!$C$5:$C$504&lt;$A72+Configuración!$C$7/1440)*(Escaleta!$E$5:$E$504&gt;$A72)*ROW(Escaleta!$A$5:$A$504))))</f>
        <v/>
      </c>
      <c r="O72" s="50">
        <f>IF(OR($A72="",E$6=""),0,SUMPRODUCT(MAX((Escaleta!$A$5:$A$504=$B$4)*(Escaleta!$H$5:$H$504=E$6)*(Escaleta!$K$5:$K$504&lt;&gt;"Cancelada")*(Escaleta!$C$5:$C$504&lt;$A72+Configuración!$C$7/1440)*(Escaleta!$E$5:$E$504&gt;$A72)*ROW(Escaleta!$A$5:$A$504))))</f>
        <v/>
      </c>
      <c r="P72" s="50">
        <f>IF(OR($A72="",F$6=""),0,SUMPRODUCT(MAX((Escaleta!$A$5:$A$504=$B$4)*(Escaleta!$H$5:$H$504=F$6)*(Escaleta!$K$5:$K$504&lt;&gt;"Cancelada")*(Escaleta!$C$5:$C$504&lt;$A72+Configuración!$C$7/1440)*(Escaleta!$E$5:$E$504&gt;$A72)*ROW(Escaleta!$A$5:$A$504))))</f>
        <v/>
      </c>
      <c r="Q72" s="50">
        <f>IF(OR($A72="",G$6=""),0,SUMPRODUCT(MAX((Escaleta!$A$5:$A$504=$B$4)*(Escaleta!$H$5:$H$504=G$6)*(Escaleta!$K$5:$K$504&lt;&gt;"Cancelada")*(Escaleta!$C$5:$C$504&lt;$A72+Configuración!$C$7/1440)*(Escaleta!$E$5:$E$504&gt;$A72)*ROW(Escaleta!$A$5:$A$504))))</f>
        <v/>
      </c>
      <c r="R72" s="50">
        <f>IF(OR($A72="",H$6=""),0,SUMPRODUCT(MAX((Escaleta!$A$5:$A$504=$B$4)*(Escaleta!$H$5:$H$504=H$6)*(Escaleta!$K$5:$K$504&lt;&gt;"Cancelada")*(Escaleta!$C$5:$C$504&lt;$A72+Configuración!$C$7/1440)*(Escaleta!$E$5:$E$504&gt;$A72)*ROW(Escaleta!$A$5:$A$504))))</f>
        <v/>
      </c>
      <c r="S72" s="50">
        <f>IF(OR($A72="",I$6=""),0,SUMPRODUCT(MAX((Escaleta!$A$5:$A$504=$B$4)*(Escaleta!$H$5:$H$504=I$6)*(Escaleta!$K$5:$K$504&lt;&gt;"Cancelada")*(Escaleta!$C$5:$C$504&lt;$A72+Configuración!$C$7/1440)*(Escaleta!$E$5:$E$504&gt;$A72)*ROW(Escaleta!$A$5:$A$504))))</f>
        <v/>
      </c>
      <c r="U72" s="50">
        <f>IF(L72=0,"",INDEX(Escaleta!$I$1:$I$504,L72))</f>
        <v/>
      </c>
      <c r="V72" s="50">
        <f>IF(M72=0,"",INDEX(Escaleta!$I$1:$I$504,M72))</f>
        <v/>
      </c>
      <c r="W72" s="50">
        <f>IF(N72=0,"",INDEX(Escaleta!$I$1:$I$504,N72))</f>
        <v/>
      </c>
      <c r="X72" s="50">
        <f>IF(O72=0,"",INDEX(Escaleta!$I$1:$I$504,O72))</f>
        <v/>
      </c>
      <c r="Y72" s="50">
        <f>IF(P72=0,"",INDEX(Escaleta!$I$1:$I$504,P72))</f>
        <v/>
      </c>
      <c r="Z72" s="50">
        <f>IF(Q72=0,"",INDEX(Escaleta!$I$1:$I$504,Q72))</f>
        <v/>
      </c>
      <c r="AA72" s="50">
        <f>IF(R72=0,"",INDEX(Escaleta!$I$1:$I$504,R72))</f>
        <v/>
      </c>
      <c r="AB72" s="50">
        <f>IF(S72=0,"",INDEX(Escaleta!$I$1:$I$504,S72))</f>
        <v/>
      </c>
    </row>
    <row r="73" ht="18" customHeight="1">
      <c r="A73" s="48">
        <f>IF(A72="","",IF(A72+Configuración!$C$7/1440&gt;Configuración!$C$6-0.0001,"",A72+Configuración!$C$7/1440))</f>
        <v/>
      </c>
      <c r="B73" s="49">
        <f>IF(L73=0,"",IF(L73&lt;&gt;L72,INDEX(Escaleta!$F$1:$F$504,L73),IF(L73&lt;&gt;L71,TEXT(INDEX(Escaleta!$C$1:$C$504,L73),"hh:mm")&amp;"–"&amp;TEXT(INDEX(Escaleta!$E$1:$E$504,L73),"hh:mm"),"")))</f>
        <v/>
      </c>
      <c r="C73" s="49">
        <f>IF(M73=0,"",IF(M73&lt;&gt;M72,INDEX(Escaleta!$F$1:$F$504,M73),IF(M73&lt;&gt;M71,TEXT(INDEX(Escaleta!$C$1:$C$504,M73),"hh:mm")&amp;"–"&amp;TEXT(INDEX(Escaleta!$E$1:$E$504,M73),"hh:mm"),"")))</f>
        <v/>
      </c>
      <c r="D73" s="49">
        <f>IF(N73=0,"",IF(N73&lt;&gt;N72,INDEX(Escaleta!$F$1:$F$504,N73),IF(N73&lt;&gt;N71,TEXT(INDEX(Escaleta!$C$1:$C$504,N73),"hh:mm")&amp;"–"&amp;TEXT(INDEX(Escaleta!$E$1:$E$504,N73),"hh:mm"),"")))</f>
        <v/>
      </c>
      <c r="E73" s="49">
        <f>IF(O73=0,"",IF(O73&lt;&gt;O72,INDEX(Escaleta!$F$1:$F$504,O73),IF(O73&lt;&gt;O71,TEXT(INDEX(Escaleta!$C$1:$C$504,O73),"hh:mm")&amp;"–"&amp;TEXT(INDEX(Escaleta!$E$1:$E$504,O73),"hh:mm"),"")))</f>
        <v/>
      </c>
      <c r="F73" s="49">
        <f>IF(P73=0,"",IF(P73&lt;&gt;P72,INDEX(Escaleta!$F$1:$F$504,P73),IF(P73&lt;&gt;P71,TEXT(INDEX(Escaleta!$C$1:$C$504,P73),"hh:mm")&amp;"–"&amp;TEXT(INDEX(Escaleta!$E$1:$E$504,P73),"hh:mm"),"")))</f>
        <v/>
      </c>
      <c r="G73" s="49">
        <f>IF(Q73=0,"",IF(Q73&lt;&gt;Q72,INDEX(Escaleta!$F$1:$F$504,Q73),IF(Q73&lt;&gt;Q71,TEXT(INDEX(Escaleta!$C$1:$C$504,Q73),"hh:mm")&amp;"–"&amp;TEXT(INDEX(Escaleta!$E$1:$E$504,Q73),"hh:mm"),"")))</f>
        <v/>
      </c>
      <c r="H73" s="49">
        <f>IF(R73=0,"",IF(R73&lt;&gt;R72,INDEX(Escaleta!$F$1:$F$504,R73),IF(R73&lt;&gt;R71,TEXT(INDEX(Escaleta!$C$1:$C$504,R73),"hh:mm")&amp;"–"&amp;TEXT(INDEX(Escaleta!$E$1:$E$504,R73),"hh:mm"),"")))</f>
        <v/>
      </c>
      <c r="I73" s="49">
        <f>IF(S73=0,"",IF(S73&lt;&gt;S72,INDEX(Escaleta!$F$1:$F$504,S73),IF(S73&lt;&gt;S71,TEXT(INDEX(Escaleta!$C$1:$C$504,S73),"hh:mm")&amp;"–"&amp;TEXT(INDEX(Escaleta!$E$1:$E$504,S73),"hh:mm"),"")))</f>
        <v/>
      </c>
      <c r="L73" s="50">
        <f>IF(OR($A73="",B$6=""),0,SUMPRODUCT(MAX((Escaleta!$A$5:$A$504=$B$4)*(Escaleta!$H$5:$H$504=B$6)*(Escaleta!$K$5:$K$504&lt;&gt;"Cancelada")*(Escaleta!$C$5:$C$504&lt;$A73+Configuración!$C$7/1440)*(Escaleta!$E$5:$E$504&gt;$A73)*ROW(Escaleta!$A$5:$A$504))))</f>
        <v/>
      </c>
      <c r="M73" s="50">
        <f>IF(OR($A73="",C$6=""),0,SUMPRODUCT(MAX((Escaleta!$A$5:$A$504=$B$4)*(Escaleta!$H$5:$H$504=C$6)*(Escaleta!$K$5:$K$504&lt;&gt;"Cancelada")*(Escaleta!$C$5:$C$504&lt;$A73+Configuración!$C$7/1440)*(Escaleta!$E$5:$E$504&gt;$A73)*ROW(Escaleta!$A$5:$A$504))))</f>
        <v/>
      </c>
      <c r="N73" s="50">
        <f>IF(OR($A73="",D$6=""),0,SUMPRODUCT(MAX((Escaleta!$A$5:$A$504=$B$4)*(Escaleta!$H$5:$H$504=D$6)*(Escaleta!$K$5:$K$504&lt;&gt;"Cancelada")*(Escaleta!$C$5:$C$504&lt;$A73+Configuración!$C$7/1440)*(Escaleta!$E$5:$E$504&gt;$A73)*ROW(Escaleta!$A$5:$A$504))))</f>
        <v/>
      </c>
      <c r="O73" s="50">
        <f>IF(OR($A73="",E$6=""),0,SUMPRODUCT(MAX((Escaleta!$A$5:$A$504=$B$4)*(Escaleta!$H$5:$H$504=E$6)*(Escaleta!$K$5:$K$504&lt;&gt;"Cancelada")*(Escaleta!$C$5:$C$504&lt;$A73+Configuración!$C$7/1440)*(Escaleta!$E$5:$E$504&gt;$A73)*ROW(Escaleta!$A$5:$A$504))))</f>
        <v/>
      </c>
      <c r="P73" s="50">
        <f>IF(OR($A73="",F$6=""),0,SUMPRODUCT(MAX((Escaleta!$A$5:$A$504=$B$4)*(Escaleta!$H$5:$H$504=F$6)*(Escaleta!$K$5:$K$504&lt;&gt;"Cancelada")*(Escaleta!$C$5:$C$504&lt;$A73+Configuración!$C$7/1440)*(Escaleta!$E$5:$E$504&gt;$A73)*ROW(Escaleta!$A$5:$A$504))))</f>
        <v/>
      </c>
      <c r="Q73" s="50">
        <f>IF(OR($A73="",G$6=""),0,SUMPRODUCT(MAX((Escaleta!$A$5:$A$504=$B$4)*(Escaleta!$H$5:$H$504=G$6)*(Escaleta!$K$5:$K$504&lt;&gt;"Cancelada")*(Escaleta!$C$5:$C$504&lt;$A73+Configuración!$C$7/1440)*(Escaleta!$E$5:$E$504&gt;$A73)*ROW(Escaleta!$A$5:$A$504))))</f>
        <v/>
      </c>
      <c r="R73" s="50">
        <f>IF(OR($A73="",H$6=""),0,SUMPRODUCT(MAX((Escaleta!$A$5:$A$504=$B$4)*(Escaleta!$H$5:$H$504=H$6)*(Escaleta!$K$5:$K$504&lt;&gt;"Cancelada")*(Escaleta!$C$5:$C$504&lt;$A73+Configuración!$C$7/1440)*(Escaleta!$E$5:$E$504&gt;$A73)*ROW(Escaleta!$A$5:$A$504))))</f>
        <v/>
      </c>
      <c r="S73" s="50">
        <f>IF(OR($A73="",I$6=""),0,SUMPRODUCT(MAX((Escaleta!$A$5:$A$504=$B$4)*(Escaleta!$H$5:$H$504=I$6)*(Escaleta!$K$5:$K$504&lt;&gt;"Cancelada")*(Escaleta!$C$5:$C$504&lt;$A73+Configuración!$C$7/1440)*(Escaleta!$E$5:$E$504&gt;$A73)*ROW(Escaleta!$A$5:$A$504))))</f>
        <v/>
      </c>
      <c r="U73" s="50">
        <f>IF(L73=0,"",INDEX(Escaleta!$I$1:$I$504,L73))</f>
        <v/>
      </c>
      <c r="V73" s="50">
        <f>IF(M73=0,"",INDEX(Escaleta!$I$1:$I$504,M73))</f>
        <v/>
      </c>
      <c r="W73" s="50">
        <f>IF(N73=0,"",INDEX(Escaleta!$I$1:$I$504,N73))</f>
        <v/>
      </c>
      <c r="X73" s="50">
        <f>IF(O73=0,"",INDEX(Escaleta!$I$1:$I$504,O73))</f>
        <v/>
      </c>
      <c r="Y73" s="50">
        <f>IF(P73=0,"",INDEX(Escaleta!$I$1:$I$504,P73))</f>
        <v/>
      </c>
      <c r="Z73" s="50">
        <f>IF(Q73=0,"",INDEX(Escaleta!$I$1:$I$504,Q73))</f>
        <v/>
      </c>
      <c r="AA73" s="50">
        <f>IF(R73=0,"",INDEX(Escaleta!$I$1:$I$504,R73))</f>
        <v/>
      </c>
      <c r="AB73" s="50">
        <f>IF(S73=0,"",INDEX(Escaleta!$I$1:$I$504,S73))</f>
        <v/>
      </c>
    </row>
    <row r="74" ht="18" customHeight="1">
      <c r="A74" s="48">
        <f>IF(A73="","",IF(A73+Configuración!$C$7/1440&gt;Configuración!$C$6-0.0001,"",A73+Configuración!$C$7/1440))</f>
        <v/>
      </c>
      <c r="B74" s="49">
        <f>IF(L74=0,"",IF(L74&lt;&gt;L73,INDEX(Escaleta!$F$1:$F$504,L74),IF(L74&lt;&gt;L72,TEXT(INDEX(Escaleta!$C$1:$C$504,L74),"hh:mm")&amp;"–"&amp;TEXT(INDEX(Escaleta!$E$1:$E$504,L74),"hh:mm"),"")))</f>
        <v/>
      </c>
      <c r="C74" s="49">
        <f>IF(M74=0,"",IF(M74&lt;&gt;M73,INDEX(Escaleta!$F$1:$F$504,M74),IF(M74&lt;&gt;M72,TEXT(INDEX(Escaleta!$C$1:$C$504,M74),"hh:mm")&amp;"–"&amp;TEXT(INDEX(Escaleta!$E$1:$E$504,M74),"hh:mm"),"")))</f>
        <v/>
      </c>
      <c r="D74" s="49">
        <f>IF(N74=0,"",IF(N74&lt;&gt;N73,INDEX(Escaleta!$F$1:$F$504,N74),IF(N74&lt;&gt;N72,TEXT(INDEX(Escaleta!$C$1:$C$504,N74),"hh:mm")&amp;"–"&amp;TEXT(INDEX(Escaleta!$E$1:$E$504,N74),"hh:mm"),"")))</f>
        <v/>
      </c>
      <c r="E74" s="49">
        <f>IF(O74=0,"",IF(O74&lt;&gt;O73,INDEX(Escaleta!$F$1:$F$504,O74),IF(O74&lt;&gt;O72,TEXT(INDEX(Escaleta!$C$1:$C$504,O74),"hh:mm")&amp;"–"&amp;TEXT(INDEX(Escaleta!$E$1:$E$504,O74),"hh:mm"),"")))</f>
        <v/>
      </c>
      <c r="F74" s="49">
        <f>IF(P74=0,"",IF(P74&lt;&gt;P73,INDEX(Escaleta!$F$1:$F$504,P74),IF(P74&lt;&gt;P72,TEXT(INDEX(Escaleta!$C$1:$C$504,P74),"hh:mm")&amp;"–"&amp;TEXT(INDEX(Escaleta!$E$1:$E$504,P74),"hh:mm"),"")))</f>
        <v/>
      </c>
      <c r="G74" s="49">
        <f>IF(Q74=0,"",IF(Q74&lt;&gt;Q73,INDEX(Escaleta!$F$1:$F$504,Q74),IF(Q74&lt;&gt;Q72,TEXT(INDEX(Escaleta!$C$1:$C$504,Q74),"hh:mm")&amp;"–"&amp;TEXT(INDEX(Escaleta!$E$1:$E$504,Q74),"hh:mm"),"")))</f>
        <v/>
      </c>
      <c r="H74" s="49">
        <f>IF(R74=0,"",IF(R74&lt;&gt;R73,INDEX(Escaleta!$F$1:$F$504,R74),IF(R74&lt;&gt;R72,TEXT(INDEX(Escaleta!$C$1:$C$504,R74),"hh:mm")&amp;"–"&amp;TEXT(INDEX(Escaleta!$E$1:$E$504,R74),"hh:mm"),"")))</f>
        <v/>
      </c>
      <c r="I74" s="49">
        <f>IF(S74=0,"",IF(S74&lt;&gt;S73,INDEX(Escaleta!$F$1:$F$504,S74),IF(S74&lt;&gt;S72,TEXT(INDEX(Escaleta!$C$1:$C$504,S74),"hh:mm")&amp;"–"&amp;TEXT(INDEX(Escaleta!$E$1:$E$504,S74),"hh:mm"),"")))</f>
        <v/>
      </c>
      <c r="L74" s="50">
        <f>IF(OR($A74="",B$6=""),0,SUMPRODUCT(MAX((Escaleta!$A$5:$A$504=$B$4)*(Escaleta!$H$5:$H$504=B$6)*(Escaleta!$K$5:$K$504&lt;&gt;"Cancelada")*(Escaleta!$C$5:$C$504&lt;$A74+Configuración!$C$7/1440)*(Escaleta!$E$5:$E$504&gt;$A74)*ROW(Escaleta!$A$5:$A$504))))</f>
        <v/>
      </c>
      <c r="M74" s="50">
        <f>IF(OR($A74="",C$6=""),0,SUMPRODUCT(MAX((Escaleta!$A$5:$A$504=$B$4)*(Escaleta!$H$5:$H$504=C$6)*(Escaleta!$K$5:$K$504&lt;&gt;"Cancelada")*(Escaleta!$C$5:$C$504&lt;$A74+Configuración!$C$7/1440)*(Escaleta!$E$5:$E$504&gt;$A74)*ROW(Escaleta!$A$5:$A$504))))</f>
        <v/>
      </c>
      <c r="N74" s="50">
        <f>IF(OR($A74="",D$6=""),0,SUMPRODUCT(MAX((Escaleta!$A$5:$A$504=$B$4)*(Escaleta!$H$5:$H$504=D$6)*(Escaleta!$K$5:$K$504&lt;&gt;"Cancelada")*(Escaleta!$C$5:$C$504&lt;$A74+Configuración!$C$7/1440)*(Escaleta!$E$5:$E$504&gt;$A74)*ROW(Escaleta!$A$5:$A$504))))</f>
        <v/>
      </c>
      <c r="O74" s="50">
        <f>IF(OR($A74="",E$6=""),0,SUMPRODUCT(MAX((Escaleta!$A$5:$A$504=$B$4)*(Escaleta!$H$5:$H$504=E$6)*(Escaleta!$K$5:$K$504&lt;&gt;"Cancelada")*(Escaleta!$C$5:$C$504&lt;$A74+Configuración!$C$7/1440)*(Escaleta!$E$5:$E$504&gt;$A74)*ROW(Escaleta!$A$5:$A$504))))</f>
        <v/>
      </c>
      <c r="P74" s="50">
        <f>IF(OR($A74="",F$6=""),0,SUMPRODUCT(MAX((Escaleta!$A$5:$A$504=$B$4)*(Escaleta!$H$5:$H$504=F$6)*(Escaleta!$K$5:$K$504&lt;&gt;"Cancelada")*(Escaleta!$C$5:$C$504&lt;$A74+Configuración!$C$7/1440)*(Escaleta!$E$5:$E$504&gt;$A74)*ROW(Escaleta!$A$5:$A$504))))</f>
        <v/>
      </c>
      <c r="Q74" s="50">
        <f>IF(OR($A74="",G$6=""),0,SUMPRODUCT(MAX((Escaleta!$A$5:$A$504=$B$4)*(Escaleta!$H$5:$H$504=G$6)*(Escaleta!$K$5:$K$504&lt;&gt;"Cancelada")*(Escaleta!$C$5:$C$504&lt;$A74+Configuración!$C$7/1440)*(Escaleta!$E$5:$E$504&gt;$A74)*ROW(Escaleta!$A$5:$A$504))))</f>
        <v/>
      </c>
      <c r="R74" s="50">
        <f>IF(OR($A74="",H$6=""),0,SUMPRODUCT(MAX((Escaleta!$A$5:$A$504=$B$4)*(Escaleta!$H$5:$H$504=H$6)*(Escaleta!$K$5:$K$504&lt;&gt;"Cancelada")*(Escaleta!$C$5:$C$504&lt;$A74+Configuración!$C$7/1440)*(Escaleta!$E$5:$E$504&gt;$A74)*ROW(Escaleta!$A$5:$A$504))))</f>
        <v/>
      </c>
      <c r="S74" s="50">
        <f>IF(OR($A74="",I$6=""),0,SUMPRODUCT(MAX((Escaleta!$A$5:$A$504=$B$4)*(Escaleta!$H$5:$H$504=I$6)*(Escaleta!$K$5:$K$504&lt;&gt;"Cancelada")*(Escaleta!$C$5:$C$504&lt;$A74+Configuración!$C$7/1440)*(Escaleta!$E$5:$E$504&gt;$A74)*ROW(Escaleta!$A$5:$A$504))))</f>
        <v/>
      </c>
      <c r="U74" s="50">
        <f>IF(L74=0,"",INDEX(Escaleta!$I$1:$I$504,L74))</f>
        <v/>
      </c>
      <c r="V74" s="50">
        <f>IF(M74=0,"",INDEX(Escaleta!$I$1:$I$504,M74))</f>
        <v/>
      </c>
      <c r="W74" s="50">
        <f>IF(N74=0,"",INDEX(Escaleta!$I$1:$I$504,N74))</f>
        <v/>
      </c>
      <c r="X74" s="50">
        <f>IF(O74=0,"",INDEX(Escaleta!$I$1:$I$504,O74))</f>
        <v/>
      </c>
      <c r="Y74" s="50">
        <f>IF(P74=0,"",INDEX(Escaleta!$I$1:$I$504,P74))</f>
        <v/>
      </c>
      <c r="Z74" s="50">
        <f>IF(Q74=0,"",INDEX(Escaleta!$I$1:$I$504,Q74))</f>
        <v/>
      </c>
      <c r="AA74" s="50">
        <f>IF(R74=0,"",INDEX(Escaleta!$I$1:$I$504,R74))</f>
        <v/>
      </c>
      <c r="AB74" s="50">
        <f>IF(S74=0,"",INDEX(Escaleta!$I$1:$I$504,S74))</f>
        <v/>
      </c>
    </row>
    <row r="75" ht="18" customHeight="1">
      <c r="A75" s="48">
        <f>IF(A74="","",IF(A74+Configuración!$C$7/1440&gt;Configuración!$C$6-0.0001,"",A74+Configuración!$C$7/1440))</f>
        <v/>
      </c>
      <c r="B75" s="49">
        <f>IF(L75=0,"",IF(L75&lt;&gt;L74,INDEX(Escaleta!$F$1:$F$504,L75),IF(L75&lt;&gt;L73,TEXT(INDEX(Escaleta!$C$1:$C$504,L75),"hh:mm")&amp;"–"&amp;TEXT(INDEX(Escaleta!$E$1:$E$504,L75),"hh:mm"),"")))</f>
        <v/>
      </c>
      <c r="C75" s="49">
        <f>IF(M75=0,"",IF(M75&lt;&gt;M74,INDEX(Escaleta!$F$1:$F$504,M75),IF(M75&lt;&gt;M73,TEXT(INDEX(Escaleta!$C$1:$C$504,M75),"hh:mm")&amp;"–"&amp;TEXT(INDEX(Escaleta!$E$1:$E$504,M75),"hh:mm"),"")))</f>
        <v/>
      </c>
      <c r="D75" s="49">
        <f>IF(N75=0,"",IF(N75&lt;&gt;N74,INDEX(Escaleta!$F$1:$F$504,N75),IF(N75&lt;&gt;N73,TEXT(INDEX(Escaleta!$C$1:$C$504,N75),"hh:mm")&amp;"–"&amp;TEXT(INDEX(Escaleta!$E$1:$E$504,N75),"hh:mm"),"")))</f>
        <v/>
      </c>
      <c r="E75" s="49">
        <f>IF(O75=0,"",IF(O75&lt;&gt;O74,INDEX(Escaleta!$F$1:$F$504,O75),IF(O75&lt;&gt;O73,TEXT(INDEX(Escaleta!$C$1:$C$504,O75),"hh:mm")&amp;"–"&amp;TEXT(INDEX(Escaleta!$E$1:$E$504,O75),"hh:mm"),"")))</f>
        <v/>
      </c>
      <c r="F75" s="49">
        <f>IF(P75=0,"",IF(P75&lt;&gt;P74,INDEX(Escaleta!$F$1:$F$504,P75),IF(P75&lt;&gt;P73,TEXT(INDEX(Escaleta!$C$1:$C$504,P75),"hh:mm")&amp;"–"&amp;TEXT(INDEX(Escaleta!$E$1:$E$504,P75),"hh:mm"),"")))</f>
        <v/>
      </c>
      <c r="G75" s="49">
        <f>IF(Q75=0,"",IF(Q75&lt;&gt;Q74,INDEX(Escaleta!$F$1:$F$504,Q75),IF(Q75&lt;&gt;Q73,TEXT(INDEX(Escaleta!$C$1:$C$504,Q75),"hh:mm")&amp;"–"&amp;TEXT(INDEX(Escaleta!$E$1:$E$504,Q75),"hh:mm"),"")))</f>
        <v/>
      </c>
      <c r="H75" s="49">
        <f>IF(R75=0,"",IF(R75&lt;&gt;R74,INDEX(Escaleta!$F$1:$F$504,R75),IF(R75&lt;&gt;R73,TEXT(INDEX(Escaleta!$C$1:$C$504,R75),"hh:mm")&amp;"–"&amp;TEXT(INDEX(Escaleta!$E$1:$E$504,R75),"hh:mm"),"")))</f>
        <v/>
      </c>
      <c r="I75" s="49">
        <f>IF(S75=0,"",IF(S75&lt;&gt;S74,INDEX(Escaleta!$F$1:$F$504,S75),IF(S75&lt;&gt;S73,TEXT(INDEX(Escaleta!$C$1:$C$504,S75),"hh:mm")&amp;"–"&amp;TEXT(INDEX(Escaleta!$E$1:$E$504,S75),"hh:mm"),"")))</f>
        <v/>
      </c>
      <c r="L75" s="50">
        <f>IF(OR($A75="",B$6=""),0,SUMPRODUCT(MAX((Escaleta!$A$5:$A$504=$B$4)*(Escaleta!$H$5:$H$504=B$6)*(Escaleta!$K$5:$K$504&lt;&gt;"Cancelada")*(Escaleta!$C$5:$C$504&lt;$A75+Configuración!$C$7/1440)*(Escaleta!$E$5:$E$504&gt;$A75)*ROW(Escaleta!$A$5:$A$504))))</f>
        <v/>
      </c>
      <c r="M75" s="50">
        <f>IF(OR($A75="",C$6=""),0,SUMPRODUCT(MAX((Escaleta!$A$5:$A$504=$B$4)*(Escaleta!$H$5:$H$504=C$6)*(Escaleta!$K$5:$K$504&lt;&gt;"Cancelada")*(Escaleta!$C$5:$C$504&lt;$A75+Configuración!$C$7/1440)*(Escaleta!$E$5:$E$504&gt;$A75)*ROW(Escaleta!$A$5:$A$504))))</f>
        <v/>
      </c>
      <c r="N75" s="50">
        <f>IF(OR($A75="",D$6=""),0,SUMPRODUCT(MAX((Escaleta!$A$5:$A$504=$B$4)*(Escaleta!$H$5:$H$504=D$6)*(Escaleta!$K$5:$K$504&lt;&gt;"Cancelada")*(Escaleta!$C$5:$C$504&lt;$A75+Configuración!$C$7/1440)*(Escaleta!$E$5:$E$504&gt;$A75)*ROW(Escaleta!$A$5:$A$504))))</f>
        <v/>
      </c>
      <c r="O75" s="50">
        <f>IF(OR($A75="",E$6=""),0,SUMPRODUCT(MAX((Escaleta!$A$5:$A$504=$B$4)*(Escaleta!$H$5:$H$504=E$6)*(Escaleta!$K$5:$K$504&lt;&gt;"Cancelada")*(Escaleta!$C$5:$C$504&lt;$A75+Configuración!$C$7/1440)*(Escaleta!$E$5:$E$504&gt;$A75)*ROW(Escaleta!$A$5:$A$504))))</f>
        <v/>
      </c>
      <c r="P75" s="50">
        <f>IF(OR($A75="",F$6=""),0,SUMPRODUCT(MAX((Escaleta!$A$5:$A$504=$B$4)*(Escaleta!$H$5:$H$504=F$6)*(Escaleta!$K$5:$K$504&lt;&gt;"Cancelada")*(Escaleta!$C$5:$C$504&lt;$A75+Configuración!$C$7/1440)*(Escaleta!$E$5:$E$504&gt;$A75)*ROW(Escaleta!$A$5:$A$504))))</f>
        <v/>
      </c>
      <c r="Q75" s="50">
        <f>IF(OR($A75="",G$6=""),0,SUMPRODUCT(MAX((Escaleta!$A$5:$A$504=$B$4)*(Escaleta!$H$5:$H$504=G$6)*(Escaleta!$K$5:$K$504&lt;&gt;"Cancelada")*(Escaleta!$C$5:$C$504&lt;$A75+Configuración!$C$7/1440)*(Escaleta!$E$5:$E$504&gt;$A75)*ROW(Escaleta!$A$5:$A$504))))</f>
        <v/>
      </c>
      <c r="R75" s="50">
        <f>IF(OR($A75="",H$6=""),0,SUMPRODUCT(MAX((Escaleta!$A$5:$A$504=$B$4)*(Escaleta!$H$5:$H$504=H$6)*(Escaleta!$K$5:$K$504&lt;&gt;"Cancelada")*(Escaleta!$C$5:$C$504&lt;$A75+Configuración!$C$7/1440)*(Escaleta!$E$5:$E$504&gt;$A75)*ROW(Escaleta!$A$5:$A$504))))</f>
        <v/>
      </c>
      <c r="S75" s="50">
        <f>IF(OR($A75="",I$6=""),0,SUMPRODUCT(MAX((Escaleta!$A$5:$A$504=$B$4)*(Escaleta!$H$5:$H$504=I$6)*(Escaleta!$K$5:$K$504&lt;&gt;"Cancelada")*(Escaleta!$C$5:$C$504&lt;$A75+Configuración!$C$7/1440)*(Escaleta!$E$5:$E$504&gt;$A75)*ROW(Escaleta!$A$5:$A$504))))</f>
        <v/>
      </c>
      <c r="U75" s="50">
        <f>IF(L75=0,"",INDEX(Escaleta!$I$1:$I$504,L75))</f>
        <v/>
      </c>
      <c r="V75" s="50">
        <f>IF(M75=0,"",INDEX(Escaleta!$I$1:$I$504,M75))</f>
        <v/>
      </c>
      <c r="W75" s="50">
        <f>IF(N75=0,"",INDEX(Escaleta!$I$1:$I$504,N75))</f>
        <v/>
      </c>
      <c r="X75" s="50">
        <f>IF(O75=0,"",INDEX(Escaleta!$I$1:$I$504,O75))</f>
        <v/>
      </c>
      <c r="Y75" s="50">
        <f>IF(P75=0,"",INDEX(Escaleta!$I$1:$I$504,P75))</f>
        <v/>
      </c>
      <c r="Z75" s="50">
        <f>IF(Q75=0,"",INDEX(Escaleta!$I$1:$I$504,Q75))</f>
        <v/>
      </c>
      <c r="AA75" s="50">
        <f>IF(R75=0,"",INDEX(Escaleta!$I$1:$I$504,R75))</f>
        <v/>
      </c>
      <c r="AB75" s="50">
        <f>IF(S75=0,"",INDEX(Escaleta!$I$1:$I$504,S75))</f>
        <v/>
      </c>
    </row>
    <row r="76" ht="18" customHeight="1">
      <c r="A76" s="48">
        <f>IF(A75="","",IF(A75+Configuración!$C$7/1440&gt;Configuración!$C$6-0.0001,"",A75+Configuración!$C$7/1440))</f>
        <v/>
      </c>
      <c r="B76" s="49">
        <f>IF(L76=0,"",IF(L76&lt;&gt;L75,INDEX(Escaleta!$F$1:$F$504,L76),IF(L76&lt;&gt;L74,TEXT(INDEX(Escaleta!$C$1:$C$504,L76),"hh:mm")&amp;"–"&amp;TEXT(INDEX(Escaleta!$E$1:$E$504,L76),"hh:mm"),"")))</f>
        <v/>
      </c>
      <c r="C76" s="49">
        <f>IF(M76=0,"",IF(M76&lt;&gt;M75,INDEX(Escaleta!$F$1:$F$504,M76),IF(M76&lt;&gt;M74,TEXT(INDEX(Escaleta!$C$1:$C$504,M76),"hh:mm")&amp;"–"&amp;TEXT(INDEX(Escaleta!$E$1:$E$504,M76),"hh:mm"),"")))</f>
        <v/>
      </c>
      <c r="D76" s="49">
        <f>IF(N76=0,"",IF(N76&lt;&gt;N75,INDEX(Escaleta!$F$1:$F$504,N76),IF(N76&lt;&gt;N74,TEXT(INDEX(Escaleta!$C$1:$C$504,N76),"hh:mm")&amp;"–"&amp;TEXT(INDEX(Escaleta!$E$1:$E$504,N76),"hh:mm"),"")))</f>
        <v/>
      </c>
      <c r="E76" s="49">
        <f>IF(O76=0,"",IF(O76&lt;&gt;O75,INDEX(Escaleta!$F$1:$F$504,O76),IF(O76&lt;&gt;O74,TEXT(INDEX(Escaleta!$C$1:$C$504,O76),"hh:mm")&amp;"–"&amp;TEXT(INDEX(Escaleta!$E$1:$E$504,O76),"hh:mm"),"")))</f>
        <v/>
      </c>
      <c r="F76" s="49">
        <f>IF(P76=0,"",IF(P76&lt;&gt;P75,INDEX(Escaleta!$F$1:$F$504,P76),IF(P76&lt;&gt;P74,TEXT(INDEX(Escaleta!$C$1:$C$504,P76),"hh:mm")&amp;"–"&amp;TEXT(INDEX(Escaleta!$E$1:$E$504,P76),"hh:mm"),"")))</f>
        <v/>
      </c>
      <c r="G76" s="49">
        <f>IF(Q76=0,"",IF(Q76&lt;&gt;Q75,INDEX(Escaleta!$F$1:$F$504,Q76),IF(Q76&lt;&gt;Q74,TEXT(INDEX(Escaleta!$C$1:$C$504,Q76),"hh:mm")&amp;"–"&amp;TEXT(INDEX(Escaleta!$E$1:$E$504,Q76),"hh:mm"),"")))</f>
        <v/>
      </c>
      <c r="H76" s="49">
        <f>IF(R76=0,"",IF(R76&lt;&gt;R75,INDEX(Escaleta!$F$1:$F$504,R76),IF(R76&lt;&gt;R74,TEXT(INDEX(Escaleta!$C$1:$C$504,R76),"hh:mm")&amp;"–"&amp;TEXT(INDEX(Escaleta!$E$1:$E$504,R76),"hh:mm"),"")))</f>
        <v/>
      </c>
      <c r="I76" s="49">
        <f>IF(S76=0,"",IF(S76&lt;&gt;S75,INDEX(Escaleta!$F$1:$F$504,S76),IF(S76&lt;&gt;S74,TEXT(INDEX(Escaleta!$C$1:$C$504,S76),"hh:mm")&amp;"–"&amp;TEXT(INDEX(Escaleta!$E$1:$E$504,S76),"hh:mm"),"")))</f>
        <v/>
      </c>
      <c r="L76" s="50">
        <f>IF(OR($A76="",B$6=""),0,SUMPRODUCT(MAX((Escaleta!$A$5:$A$504=$B$4)*(Escaleta!$H$5:$H$504=B$6)*(Escaleta!$K$5:$K$504&lt;&gt;"Cancelada")*(Escaleta!$C$5:$C$504&lt;$A76+Configuración!$C$7/1440)*(Escaleta!$E$5:$E$504&gt;$A76)*ROW(Escaleta!$A$5:$A$504))))</f>
        <v/>
      </c>
      <c r="M76" s="50">
        <f>IF(OR($A76="",C$6=""),0,SUMPRODUCT(MAX((Escaleta!$A$5:$A$504=$B$4)*(Escaleta!$H$5:$H$504=C$6)*(Escaleta!$K$5:$K$504&lt;&gt;"Cancelada")*(Escaleta!$C$5:$C$504&lt;$A76+Configuración!$C$7/1440)*(Escaleta!$E$5:$E$504&gt;$A76)*ROW(Escaleta!$A$5:$A$504))))</f>
        <v/>
      </c>
      <c r="N76" s="50">
        <f>IF(OR($A76="",D$6=""),0,SUMPRODUCT(MAX((Escaleta!$A$5:$A$504=$B$4)*(Escaleta!$H$5:$H$504=D$6)*(Escaleta!$K$5:$K$504&lt;&gt;"Cancelada")*(Escaleta!$C$5:$C$504&lt;$A76+Configuración!$C$7/1440)*(Escaleta!$E$5:$E$504&gt;$A76)*ROW(Escaleta!$A$5:$A$504))))</f>
        <v/>
      </c>
      <c r="O76" s="50">
        <f>IF(OR($A76="",E$6=""),0,SUMPRODUCT(MAX((Escaleta!$A$5:$A$504=$B$4)*(Escaleta!$H$5:$H$504=E$6)*(Escaleta!$K$5:$K$504&lt;&gt;"Cancelada")*(Escaleta!$C$5:$C$504&lt;$A76+Configuración!$C$7/1440)*(Escaleta!$E$5:$E$504&gt;$A76)*ROW(Escaleta!$A$5:$A$504))))</f>
        <v/>
      </c>
      <c r="P76" s="50">
        <f>IF(OR($A76="",F$6=""),0,SUMPRODUCT(MAX((Escaleta!$A$5:$A$504=$B$4)*(Escaleta!$H$5:$H$504=F$6)*(Escaleta!$K$5:$K$504&lt;&gt;"Cancelada")*(Escaleta!$C$5:$C$504&lt;$A76+Configuración!$C$7/1440)*(Escaleta!$E$5:$E$504&gt;$A76)*ROW(Escaleta!$A$5:$A$504))))</f>
        <v/>
      </c>
      <c r="Q76" s="50">
        <f>IF(OR($A76="",G$6=""),0,SUMPRODUCT(MAX((Escaleta!$A$5:$A$504=$B$4)*(Escaleta!$H$5:$H$504=G$6)*(Escaleta!$K$5:$K$504&lt;&gt;"Cancelada")*(Escaleta!$C$5:$C$504&lt;$A76+Configuración!$C$7/1440)*(Escaleta!$E$5:$E$504&gt;$A76)*ROW(Escaleta!$A$5:$A$504))))</f>
        <v/>
      </c>
      <c r="R76" s="50">
        <f>IF(OR($A76="",H$6=""),0,SUMPRODUCT(MAX((Escaleta!$A$5:$A$504=$B$4)*(Escaleta!$H$5:$H$504=H$6)*(Escaleta!$K$5:$K$504&lt;&gt;"Cancelada")*(Escaleta!$C$5:$C$504&lt;$A76+Configuración!$C$7/1440)*(Escaleta!$E$5:$E$504&gt;$A76)*ROW(Escaleta!$A$5:$A$504))))</f>
        <v/>
      </c>
      <c r="S76" s="50">
        <f>IF(OR($A76="",I$6=""),0,SUMPRODUCT(MAX((Escaleta!$A$5:$A$504=$B$4)*(Escaleta!$H$5:$H$504=I$6)*(Escaleta!$K$5:$K$504&lt;&gt;"Cancelada")*(Escaleta!$C$5:$C$504&lt;$A76+Configuración!$C$7/1440)*(Escaleta!$E$5:$E$504&gt;$A76)*ROW(Escaleta!$A$5:$A$504))))</f>
        <v/>
      </c>
      <c r="U76" s="50">
        <f>IF(L76=0,"",INDEX(Escaleta!$I$1:$I$504,L76))</f>
        <v/>
      </c>
      <c r="V76" s="50">
        <f>IF(M76=0,"",INDEX(Escaleta!$I$1:$I$504,M76))</f>
        <v/>
      </c>
      <c r="W76" s="50">
        <f>IF(N76=0,"",INDEX(Escaleta!$I$1:$I$504,N76))</f>
        <v/>
      </c>
      <c r="X76" s="50">
        <f>IF(O76=0,"",INDEX(Escaleta!$I$1:$I$504,O76))</f>
        <v/>
      </c>
      <c r="Y76" s="50">
        <f>IF(P76=0,"",INDEX(Escaleta!$I$1:$I$504,P76))</f>
        <v/>
      </c>
      <c r="Z76" s="50">
        <f>IF(Q76=0,"",INDEX(Escaleta!$I$1:$I$504,Q76))</f>
        <v/>
      </c>
      <c r="AA76" s="50">
        <f>IF(R76=0,"",INDEX(Escaleta!$I$1:$I$504,R76))</f>
        <v/>
      </c>
      <c r="AB76" s="50">
        <f>IF(S76=0,"",INDEX(Escaleta!$I$1:$I$504,S76))</f>
        <v/>
      </c>
    </row>
    <row r="77" ht="18" customHeight="1">
      <c r="A77" s="48">
        <f>IF(A76="","",IF(A76+Configuración!$C$7/1440&gt;Configuración!$C$6-0.0001,"",A76+Configuración!$C$7/1440))</f>
        <v/>
      </c>
      <c r="B77" s="49">
        <f>IF(L77=0,"",IF(L77&lt;&gt;L76,INDEX(Escaleta!$F$1:$F$504,L77),IF(L77&lt;&gt;L75,TEXT(INDEX(Escaleta!$C$1:$C$504,L77),"hh:mm")&amp;"–"&amp;TEXT(INDEX(Escaleta!$E$1:$E$504,L77),"hh:mm"),"")))</f>
        <v/>
      </c>
      <c r="C77" s="49">
        <f>IF(M77=0,"",IF(M77&lt;&gt;M76,INDEX(Escaleta!$F$1:$F$504,M77),IF(M77&lt;&gt;M75,TEXT(INDEX(Escaleta!$C$1:$C$504,M77),"hh:mm")&amp;"–"&amp;TEXT(INDEX(Escaleta!$E$1:$E$504,M77),"hh:mm"),"")))</f>
        <v/>
      </c>
      <c r="D77" s="49">
        <f>IF(N77=0,"",IF(N77&lt;&gt;N76,INDEX(Escaleta!$F$1:$F$504,N77),IF(N77&lt;&gt;N75,TEXT(INDEX(Escaleta!$C$1:$C$504,N77),"hh:mm")&amp;"–"&amp;TEXT(INDEX(Escaleta!$E$1:$E$504,N77),"hh:mm"),"")))</f>
        <v/>
      </c>
      <c r="E77" s="49">
        <f>IF(O77=0,"",IF(O77&lt;&gt;O76,INDEX(Escaleta!$F$1:$F$504,O77),IF(O77&lt;&gt;O75,TEXT(INDEX(Escaleta!$C$1:$C$504,O77),"hh:mm")&amp;"–"&amp;TEXT(INDEX(Escaleta!$E$1:$E$504,O77),"hh:mm"),"")))</f>
        <v/>
      </c>
      <c r="F77" s="49">
        <f>IF(P77=0,"",IF(P77&lt;&gt;P76,INDEX(Escaleta!$F$1:$F$504,P77),IF(P77&lt;&gt;P75,TEXT(INDEX(Escaleta!$C$1:$C$504,P77),"hh:mm")&amp;"–"&amp;TEXT(INDEX(Escaleta!$E$1:$E$504,P77),"hh:mm"),"")))</f>
        <v/>
      </c>
      <c r="G77" s="49">
        <f>IF(Q77=0,"",IF(Q77&lt;&gt;Q76,INDEX(Escaleta!$F$1:$F$504,Q77),IF(Q77&lt;&gt;Q75,TEXT(INDEX(Escaleta!$C$1:$C$504,Q77),"hh:mm")&amp;"–"&amp;TEXT(INDEX(Escaleta!$E$1:$E$504,Q77),"hh:mm"),"")))</f>
        <v/>
      </c>
      <c r="H77" s="49">
        <f>IF(R77=0,"",IF(R77&lt;&gt;R76,INDEX(Escaleta!$F$1:$F$504,R77),IF(R77&lt;&gt;R75,TEXT(INDEX(Escaleta!$C$1:$C$504,R77),"hh:mm")&amp;"–"&amp;TEXT(INDEX(Escaleta!$E$1:$E$504,R77),"hh:mm"),"")))</f>
        <v/>
      </c>
      <c r="I77" s="49">
        <f>IF(S77=0,"",IF(S77&lt;&gt;S76,INDEX(Escaleta!$F$1:$F$504,S77),IF(S77&lt;&gt;S75,TEXT(INDEX(Escaleta!$C$1:$C$504,S77),"hh:mm")&amp;"–"&amp;TEXT(INDEX(Escaleta!$E$1:$E$504,S77),"hh:mm"),"")))</f>
        <v/>
      </c>
      <c r="L77" s="50">
        <f>IF(OR($A77="",B$6=""),0,SUMPRODUCT(MAX((Escaleta!$A$5:$A$504=$B$4)*(Escaleta!$H$5:$H$504=B$6)*(Escaleta!$K$5:$K$504&lt;&gt;"Cancelada")*(Escaleta!$C$5:$C$504&lt;$A77+Configuración!$C$7/1440)*(Escaleta!$E$5:$E$504&gt;$A77)*ROW(Escaleta!$A$5:$A$504))))</f>
        <v/>
      </c>
      <c r="M77" s="50">
        <f>IF(OR($A77="",C$6=""),0,SUMPRODUCT(MAX((Escaleta!$A$5:$A$504=$B$4)*(Escaleta!$H$5:$H$504=C$6)*(Escaleta!$K$5:$K$504&lt;&gt;"Cancelada")*(Escaleta!$C$5:$C$504&lt;$A77+Configuración!$C$7/1440)*(Escaleta!$E$5:$E$504&gt;$A77)*ROW(Escaleta!$A$5:$A$504))))</f>
        <v/>
      </c>
      <c r="N77" s="50">
        <f>IF(OR($A77="",D$6=""),0,SUMPRODUCT(MAX((Escaleta!$A$5:$A$504=$B$4)*(Escaleta!$H$5:$H$504=D$6)*(Escaleta!$K$5:$K$504&lt;&gt;"Cancelada")*(Escaleta!$C$5:$C$504&lt;$A77+Configuración!$C$7/1440)*(Escaleta!$E$5:$E$504&gt;$A77)*ROW(Escaleta!$A$5:$A$504))))</f>
        <v/>
      </c>
      <c r="O77" s="50">
        <f>IF(OR($A77="",E$6=""),0,SUMPRODUCT(MAX((Escaleta!$A$5:$A$504=$B$4)*(Escaleta!$H$5:$H$504=E$6)*(Escaleta!$K$5:$K$504&lt;&gt;"Cancelada")*(Escaleta!$C$5:$C$504&lt;$A77+Configuración!$C$7/1440)*(Escaleta!$E$5:$E$504&gt;$A77)*ROW(Escaleta!$A$5:$A$504))))</f>
        <v/>
      </c>
      <c r="P77" s="50">
        <f>IF(OR($A77="",F$6=""),0,SUMPRODUCT(MAX((Escaleta!$A$5:$A$504=$B$4)*(Escaleta!$H$5:$H$504=F$6)*(Escaleta!$K$5:$K$504&lt;&gt;"Cancelada")*(Escaleta!$C$5:$C$504&lt;$A77+Configuración!$C$7/1440)*(Escaleta!$E$5:$E$504&gt;$A77)*ROW(Escaleta!$A$5:$A$504))))</f>
        <v/>
      </c>
      <c r="Q77" s="50">
        <f>IF(OR($A77="",G$6=""),0,SUMPRODUCT(MAX((Escaleta!$A$5:$A$504=$B$4)*(Escaleta!$H$5:$H$504=G$6)*(Escaleta!$K$5:$K$504&lt;&gt;"Cancelada")*(Escaleta!$C$5:$C$504&lt;$A77+Configuración!$C$7/1440)*(Escaleta!$E$5:$E$504&gt;$A77)*ROW(Escaleta!$A$5:$A$504))))</f>
        <v/>
      </c>
      <c r="R77" s="50">
        <f>IF(OR($A77="",H$6=""),0,SUMPRODUCT(MAX((Escaleta!$A$5:$A$504=$B$4)*(Escaleta!$H$5:$H$504=H$6)*(Escaleta!$K$5:$K$504&lt;&gt;"Cancelada")*(Escaleta!$C$5:$C$504&lt;$A77+Configuración!$C$7/1440)*(Escaleta!$E$5:$E$504&gt;$A77)*ROW(Escaleta!$A$5:$A$504))))</f>
        <v/>
      </c>
      <c r="S77" s="50">
        <f>IF(OR($A77="",I$6=""),0,SUMPRODUCT(MAX((Escaleta!$A$5:$A$504=$B$4)*(Escaleta!$H$5:$H$504=I$6)*(Escaleta!$K$5:$K$504&lt;&gt;"Cancelada")*(Escaleta!$C$5:$C$504&lt;$A77+Configuración!$C$7/1440)*(Escaleta!$E$5:$E$504&gt;$A77)*ROW(Escaleta!$A$5:$A$504))))</f>
        <v/>
      </c>
      <c r="U77" s="50">
        <f>IF(L77=0,"",INDEX(Escaleta!$I$1:$I$504,L77))</f>
        <v/>
      </c>
      <c r="V77" s="50">
        <f>IF(M77=0,"",INDEX(Escaleta!$I$1:$I$504,M77))</f>
        <v/>
      </c>
      <c r="W77" s="50">
        <f>IF(N77=0,"",INDEX(Escaleta!$I$1:$I$504,N77))</f>
        <v/>
      </c>
      <c r="X77" s="50">
        <f>IF(O77=0,"",INDEX(Escaleta!$I$1:$I$504,O77))</f>
        <v/>
      </c>
      <c r="Y77" s="50">
        <f>IF(P77=0,"",INDEX(Escaleta!$I$1:$I$504,P77))</f>
        <v/>
      </c>
      <c r="Z77" s="50">
        <f>IF(Q77=0,"",INDEX(Escaleta!$I$1:$I$504,Q77))</f>
        <v/>
      </c>
      <c r="AA77" s="50">
        <f>IF(R77=0,"",INDEX(Escaleta!$I$1:$I$504,R77))</f>
        <v/>
      </c>
      <c r="AB77" s="50">
        <f>IF(S77=0,"",INDEX(Escaleta!$I$1:$I$504,S77))</f>
        <v/>
      </c>
    </row>
    <row r="78" ht="18" customHeight="1">
      <c r="A78" s="48">
        <f>IF(A77="","",IF(A77+Configuración!$C$7/1440&gt;Configuración!$C$6-0.0001,"",A77+Configuración!$C$7/1440))</f>
        <v/>
      </c>
      <c r="B78" s="49">
        <f>IF(L78=0,"",IF(L78&lt;&gt;L77,INDEX(Escaleta!$F$1:$F$504,L78),IF(L78&lt;&gt;L76,TEXT(INDEX(Escaleta!$C$1:$C$504,L78),"hh:mm")&amp;"–"&amp;TEXT(INDEX(Escaleta!$E$1:$E$504,L78),"hh:mm"),"")))</f>
        <v/>
      </c>
      <c r="C78" s="49">
        <f>IF(M78=0,"",IF(M78&lt;&gt;M77,INDEX(Escaleta!$F$1:$F$504,M78),IF(M78&lt;&gt;M76,TEXT(INDEX(Escaleta!$C$1:$C$504,M78),"hh:mm")&amp;"–"&amp;TEXT(INDEX(Escaleta!$E$1:$E$504,M78),"hh:mm"),"")))</f>
        <v/>
      </c>
      <c r="D78" s="49">
        <f>IF(N78=0,"",IF(N78&lt;&gt;N77,INDEX(Escaleta!$F$1:$F$504,N78),IF(N78&lt;&gt;N76,TEXT(INDEX(Escaleta!$C$1:$C$504,N78),"hh:mm")&amp;"–"&amp;TEXT(INDEX(Escaleta!$E$1:$E$504,N78),"hh:mm"),"")))</f>
        <v/>
      </c>
      <c r="E78" s="49">
        <f>IF(O78=0,"",IF(O78&lt;&gt;O77,INDEX(Escaleta!$F$1:$F$504,O78),IF(O78&lt;&gt;O76,TEXT(INDEX(Escaleta!$C$1:$C$504,O78),"hh:mm")&amp;"–"&amp;TEXT(INDEX(Escaleta!$E$1:$E$504,O78),"hh:mm"),"")))</f>
        <v/>
      </c>
      <c r="F78" s="49">
        <f>IF(P78=0,"",IF(P78&lt;&gt;P77,INDEX(Escaleta!$F$1:$F$504,P78),IF(P78&lt;&gt;P76,TEXT(INDEX(Escaleta!$C$1:$C$504,P78),"hh:mm")&amp;"–"&amp;TEXT(INDEX(Escaleta!$E$1:$E$504,P78),"hh:mm"),"")))</f>
        <v/>
      </c>
      <c r="G78" s="49">
        <f>IF(Q78=0,"",IF(Q78&lt;&gt;Q77,INDEX(Escaleta!$F$1:$F$504,Q78),IF(Q78&lt;&gt;Q76,TEXT(INDEX(Escaleta!$C$1:$C$504,Q78),"hh:mm")&amp;"–"&amp;TEXT(INDEX(Escaleta!$E$1:$E$504,Q78),"hh:mm"),"")))</f>
        <v/>
      </c>
      <c r="H78" s="49">
        <f>IF(R78=0,"",IF(R78&lt;&gt;R77,INDEX(Escaleta!$F$1:$F$504,R78),IF(R78&lt;&gt;R76,TEXT(INDEX(Escaleta!$C$1:$C$504,R78),"hh:mm")&amp;"–"&amp;TEXT(INDEX(Escaleta!$E$1:$E$504,R78),"hh:mm"),"")))</f>
        <v/>
      </c>
      <c r="I78" s="49">
        <f>IF(S78=0,"",IF(S78&lt;&gt;S77,INDEX(Escaleta!$F$1:$F$504,S78),IF(S78&lt;&gt;S76,TEXT(INDEX(Escaleta!$C$1:$C$504,S78),"hh:mm")&amp;"–"&amp;TEXT(INDEX(Escaleta!$E$1:$E$504,S78),"hh:mm"),"")))</f>
        <v/>
      </c>
      <c r="L78" s="50">
        <f>IF(OR($A78="",B$6=""),0,SUMPRODUCT(MAX((Escaleta!$A$5:$A$504=$B$4)*(Escaleta!$H$5:$H$504=B$6)*(Escaleta!$K$5:$K$504&lt;&gt;"Cancelada")*(Escaleta!$C$5:$C$504&lt;$A78+Configuración!$C$7/1440)*(Escaleta!$E$5:$E$504&gt;$A78)*ROW(Escaleta!$A$5:$A$504))))</f>
        <v/>
      </c>
      <c r="M78" s="50">
        <f>IF(OR($A78="",C$6=""),0,SUMPRODUCT(MAX((Escaleta!$A$5:$A$504=$B$4)*(Escaleta!$H$5:$H$504=C$6)*(Escaleta!$K$5:$K$504&lt;&gt;"Cancelada")*(Escaleta!$C$5:$C$504&lt;$A78+Configuración!$C$7/1440)*(Escaleta!$E$5:$E$504&gt;$A78)*ROW(Escaleta!$A$5:$A$504))))</f>
        <v/>
      </c>
      <c r="N78" s="50">
        <f>IF(OR($A78="",D$6=""),0,SUMPRODUCT(MAX((Escaleta!$A$5:$A$504=$B$4)*(Escaleta!$H$5:$H$504=D$6)*(Escaleta!$K$5:$K$504&lt;&gt;"Cancelada")*(Escaleta!$C$5:$C$504&lt;$A78+Configuración!$C$7/1440)*(Escaleta!$E$5:$E$504&gt;$A78)*ROW(Escaleta!$A$5:$A$504))))</f>
        <v/>
      </c>
      <c r="O78" s="50">
        <f>IF(OR($A78="",E$6=""),0,SUMPRODUCT(MAX((Escaleta!$A$5:$A$504=$B$4)*(Escaleta!$H$5:$H$504=E$6)*(Escaleta!$K$5:$K$504&lt;&gt;"Cancelada")*(Escaleta!$C$5:$C$504&lt;$A78+Configuración!$C$7/1440)*(Escaleta!$E$5:$E$504&gt;$A78)*ROW(Escaleta!$A$5:$A$504))))</f>
        <v/>
      </c>
      <c r="P78" s="50">
        <f>IF(OR($A78="",F$6=""),0,SUMPRODUCT(MAX((Escaleta!$A$5:$A$504=$B$4)*(Escaleta!$H$5:$H$504=F$6)*(Escaleta!$K$5:$K$504&lt;&gt;"Cancelada")*(Escaleta!$C$5:$C$504&lt;$A78+Configuración!$C$7/1440)*(Escaleta!$E$5:$E$504&gt;$A78)*ROW(Escaleta!$A$5:$A$504))))</f>
        <v/>
      </c>
      <c r="Q78" s="50">
        <f>IF(OR($A78="",G$6=""),0,SUMPRODUCT(MAX((Escaleta!$A$5:$A$504=$B$4)*(Escaleta!$H$5:$H$504=G$6)*(Escaleta!$K$5:$K$504&lt;&gt;"Cancelada")*(Escaleta!$C$5:$C$504&lt;$A78+Configuración!$C$7/1440)*(Escaleta!$E$5:$E$504&gt;$A78)*ROW(Escaleta!$A$5:$A$504))))</f>
        <v/>
      </c>
      <c r="R78" s="50">
        <f>IF(OR($A78="",H$6=""),0,SUMPRODUCT(MAX((Escaleta!$A$5:$A$504=$B$4)*(Escaleta!$H$5:$H$504=H$6)*(Escaleta!$K$5:$K$504&lt;&gt;"Cancelada")*(Escaleta!$C$5:$C$504&lt;$A78+Configuración!$C$7/1440)*(Escaleta!$E$5:$E$504&gt;$A78)*ROW(Escaleta!$A$5:$A$504))))</f>
        <v/>
      </c>
      <c r="S78" s="50">
        <f>IF(OR($A78="",I$6=""),0,SUMPRODUCT(MAX((Escaleta!$A$5:$A$504=$B$4)*(Escaleta!$H$5:$H$504=I$6)*(Escaleta!$K$5:$K$504&lt;&gt;"Cancelada")*(Escaleta!$C$5:$C$504&lt;$A78+Configuración!$C$7/1440)*(Escaleta!$E$5:$E$504&gt;$A78)*ROW(Escaleta!$A$5:$A$504))))</f>
        <v/>
      </c>
      <c r="U78" s="50">
        <f>IF(L78=0,"",INDEX(Escaleta!$I$1:$I$504,L78))</f>
        <v/>
      </c>
      <c r="V78" s="50">
        <f>IF(M78=0,"",INDEX(Escaleta!$I$1:$I$504,M78))</f>
        <v/>
      </c>
      <c r="W78" s="50">
        <f>IF(N78=0,"",INDEX(Escaleta!$I$1:$I$504,N78))</f>
        <v/>
      </c>
      <c r="X78" s="50">
        <f>IF(O78=0,"",INDEX(Escaleta!$I$1:$I$504,O78))</f>
        <v/>
      </c>
      <c r="Y78" s="50">
        <f>IF(P78=0,"",INDEX(Escaleta!$I$1:$I$504,P78))</f>
        <v/>
      </c>
      <c r="Z78" s="50">
        <f>IF(Q78=0,"",INDEX(Escaleta!$I$1:$I$504,Q78))</f>
        <v/>
      </c>
      <c r="AA78" s="50">
        <f>IF(R78=0,"",INDEX(Escaleta!$I$1:$I$504,R78))</f>
        <v/>
      </c>
      <c r="AB78" s="50">
        <f>IF(S78=0,"",INDEX(Escaleta!$I$1:$I$504,S78))</f>
        <v/>
      </c>
    </row>
    <row r="79" ht="18" customHeight="1">
      <c r="A79" s="48">
        <f>IF(A78="","",IF(A78+Configuración!$C$7/1440&gt;Configuración!$C$6-0.0001,"",A78+Configuración!$C$7/1440))</f>
        <v/>
      </c>
      <c r="B79" s="49">
        <f>IF(L79=0,"",IF(L79&lt;&gt;L78,INDEX(Escaleta!$F$1:$F$504,L79),IF(L79&lt;&gt;L77,TEXT(INDEX(Escaleta!$C$1:$C$504,L79),"hh:mm")&amp;"–"&amp;TEXT(INDEX(Escaleta!$E$1:$E$504,L79),"hh:mm"),"")))</f>
        <v/>
      </c>
      <c r="C79" s="49">
        <f>IF(M79=0,"",IF(M79&lt;&gt;M78,INDEX(Escaleta!$F$1:$F$504,M79),IF(M79&lt;&gt;M77,TEXT(INDEX(Escaleta!$C$1:$C$504,M79),"hh:mm")&amp;"–"&amp;TEXT(INDEX(Escaleta!$E$1:$E$504,M79),"hh:mm"),"")))</f>
        <v/>
      </c>
      <c r="D79" s="49">
        <f>IF(N79=0,"",IF(N79&lt;&gt;N78,INDEX(Escaleta!$F$1:$F$504,N79),IF(N79&lt;&gt;N77,TEXT(INDEX(Escaleta!$C$1:$C$504,N79),"hh:mm")&amp;"–"&amp;TEXT(INDEX(Escaleta!$E$1:$E$504,N79),"hh:mm"),"")))</f>
        <v/>
      </c>
      <c r="E79" s="49">
        <f>IF(O79=0,"",IF(O79&lt;&gt;O78,INDEX(Escaleta!$F$1:$F$504,O79),IF(O79&lt;&gt;O77,TEXT(INDEX(Escaleta!$C$1:$C$504,O79),"hh:mm")&amp;"–"&amp;TEXT(INDEX(Escaleta!$E$1:$E$504,O79),"hh:mm"),"")))</f>
        <v/>
      </c>
      <c r="F79" s="49">
        <f>IF(P79=0,"",IF(P79&lt;&gt;P78,INDEX(Escaleta!$F$1:$F$504,P79),IF(P79&lt;&gt;P77,TEXT(INDEX(Escaleta!$C$1:$C$504,P79),"hh:mm")&amp;"–"&amp;TEXT(INDEX(Escaleta!$E$1:$E$504,P79),"hh:mm"),"")))</f>
        <v/>
      </c>
      <c r="G79" s="49">
        <f>IF(Q79=0,"",IF(Q79&lt;&gt;Q78,INDEX(Escaleta!$F$1:$F$504,Q79),IF(Q79&lt;&gt;Q77,TEXT(INDEX(Escaleta!$C$1:$C$504,Q79),"hh:mm")&amp;"–"&amp;TEXT(INDEX(Escaleta!$E$1:$E$504,Q79),"hh:mm"),"")))</f>
        <v/>
      </c>
      <c r="H79" s="49">
        <f>IF(R79=0,"",IF(R79&lt;&gt;R78,INDEX(Escaleta!$F$1:$F$504,R79),IF(R79&lt;&gt;R77,TEXT(INDEX(Escaleta!$C$1:$C$504,R79),"hh:mm")&amp;"–"&amp;TEXT(INDEX(Escaleta!$E$1:$E$504,R79),"hh:mm"),"")))</f>
        <v/>
      </c>
      <c r="I79" s="49">
        <f>IF(S79=0,"",IF(S79&lt;&gt;S78,INDEX(Escaleta!$F$1:$F$504,S79),IF(S79&lt;&gt;S77,TEXT(INDEX(Escaleta!$C$1:$C$504,S79),"hh:mm")&amp;"–"&amp;TEXT(INDEX(Escaleta!$E$1:$E$504,S79),"hh:mm"),"")))</f>
        <v/>
      </c>
      <c r="L79" s="50">
        <f>IF(OR($A79="",B$6=""),0,SUMPRODUCT(MAX((Escaleta!$A$5:$A$504=$B$4)*(Escaleta!$H$5:$H$504=B$6)*(Escaleta!$K$5:$K$504&lt;&gt;"Cancelada")*(Escaleta!$C$5:$C$504&lt;$A79+Configuración!$C$7/1440)*(Escaleta!$E$5:$E$504&gt;$A79)*ROW(Escaleta!$A$5:$A$504))))</f>
        <v/>
      </c>
      <c r="M79" s="50">
        <f>IF(OR($A79="",C$6=""),0,SUMPRODUCT(MAX((Escaleta!$A$5:$A$504=$B$4)*(Escaleta!$H$5:$H$504=C$6)*(Escaleta!$K$5:$K$504&lt;&gt;"Cancelada")*(Escaleta!$C$5:$C$504&lt;$A79+Configuración!$C$7/1440)*(Escaleta!$E$5:$E$504&gt;$A79)*ROW(Escaleta!$A$5:$A$504))))</f>
        <v/>
      </c>
      <c r="N79" s="50">
        <f>IF(OR($A79="",D$6=""),0,SUMPRODUCT(MAX((Escaleta!$A$5:$A$504=$B$4)*(Escaleta!$H$5:$H$504=D$6)*(Escaleta!$K$5:$K$504&lt;&gt;"Cancelada")*(Escaleta!$C$5:$C$504&lt;$A79+Configuración!$C$7/1440)*(Escaleta!$E$5:$E$504&gt;$A79)*ROW(Escaleta!$A$5:$A$504))))</f>
        <v/>
      </c>
      <c r="O79" s="50">
        <f>IF(OR($A79="",E$6=""),0,SUMPRODUCT(MAX((Escaleta!$A$5:$A$504=$B$4)*(Escaleta!$H$5:$H$504=E$6)*(Escaleta!$K$5:$K$504&lt;&gt;"Cancelada")*(Escaleta!$C$5:$C$504&lt;$A79+Configuración!$C$7/1440)*(Escaleta!$E$5:$E$504&gt;$A79)*ROW(Escaleta!$A$5:$A$504))))</f>
        <v/>
      </c>
      <c r="P79" s="50">
        <f>IF(OR($A79="",F$6=""),0,SUMPRODUCT(MAX((Escaleta!$A$5:$A$504=$B$4)*(Escaleta!$H$5:$H$504=F$6)*(Escaleta!$K$5:$K$504&lt;&gt;"Cancelada")*(Escaleta!$C$5:$C$504&lt;$A79+Configuración!$C$7/1440)*(Escaleta!$E$5:$E$504&gt;$A79)*ROW(Escaleta!$A$5:$A$504))))</f>
        <v/>
      </c>
      <c r="Q79" s="50">
        <f>IF(OR($A79="",G$6=""),0,SUMPRODUCT(MAX((Escaleta!$A$5:$A$504=$B$4)*(Escaleta!$H$5:$H$504=G$6)*(Escaleta!$K$5:$K$504&lt;&gt;"Cancelada")*(Escaleta!$C$5:$C$504&lt;$A79+Configuración!$C$7/1440)*(Escaleta!$E$5:$E$504&gt;$A79)*ROW(Escaleta!$A$5:$A$504))))</f>
        <v/>
      </c>
      <c r="R79" s="50">
        <f>IF(OR($A79="",H$6=""),0,SUMPRODUCT(MAX((Escaleta!$A$5:$A$504=$B$4)*(Escaleta!$H$5:$H$504=H$6)*(Escaleta!$K$5:$K$504&lt;&gt;"Cancelada")*(Escaleta!$C$5:$C$504&lt;$A79+Configuración!$C$7/1440)*(Escaleta!$E$5:$E$504&gt;$A79)*ROW(Escaleta!$A$5:$A$504))))</f>
        <v/>
      </c>
      <c r="S79" s="50">
        <f>IF(OR($A79="",I$6=""),0,SUMPRODUCT(MAX((Escaleta!$A$5:$A$504=$B$4)*(Escaleta!$H$5:$H$504=I$6)*(Escaleta!$K$5:$K$504&lt;&gt;"Cancelada")*(Escaleta!$C$5:$C$504&lt;$A79+Configuración!$C$7/1440)*(Escaleta!$E$5:$E$504&gt;$A79)*ROW(Escaleta!$A$5:$A$504))))</f>
        <v/>
      </c>
      <c r="U79" s="50">
        <f>IF(L79=0,"",INDEX(Escaleta!$I$1:$I$504,L79))</f>
        <v/>
      </c>
      <c r="V79" s="50">
        <f>IF(M79=0,"",INDEX(Escaleta!$I$1:$I$504,M79))</f>
        <v/>
      </c>
      <c r="W79" s="50">
        <f>IF(N79=0,"",INDEX(Escaleta!$I$1:$I$504,N79))</f>
        <v/>
      </c>
      <c r="X79" s="50">
        <f>IF(O79=0,"",INDEX(Escaleta!$I$1:$I$504,O79))</f>
        <v/>
      </c>
      <c r="Y79" s="50">
        <f>IF(P79=0,"",INDEX(Escaleta!$I$1:$I$504,P79))</f>
        <v/>
      </c>
      <c r="Z79" s="50">
        <f>IF(Q79=0,"",INDEX(Escaleta!$I$1:$I$504,Q79))</f>
        <v/>
      </c>
      <c r="AA79" s="50">
        <f>IF(R79=0,"",INDEX(Escaleta!$I$1:$I$504,R79))</f>
        <v/>
      </c>
      <c r="AB79" s="50">
        <f>IF(S79=0,"",INDEX(Escaleta!$I$1:$I$504,S79))</f>
        <v/>
      </c>
    </row>
    <row r="80" ht="18" customHeight="1">
      <c r="A80" s="48">
        <f>IF(A79="","",IF(A79+Configuración!$C$7/1440&gt;Configuración!$C$6-0.0001,"",A79+Configuración!$C$7/1440))</f>
        <v/>
      </c>
      <c r="B80" s="49">
        <f>IF(L80=0,"",IF(L80&lt;&gt;L79,INDEX(Escaleta!$F$1:$F$504,L80),IF(L80&lt;&gt;L78,TEXT(INDEX(Escaleta!$C$1:$C$504,L80),"hh:mm")&amp;"–"&amp;TEXT(INDEX(Escaleta!$E$1:$E$504,L80),"hh:mm"),"")))</f>
        <v/>
      </c>
      <c r="C80" s="49">
        <f>IF(M80=0,"",IF(M80&lt;&gt;M79,INDEX(Escaleta!$F$1:$F$504,M80),IF(M80&lt;&gt;M78,TEXT(INDEX(Escaleta!$C$1:$C$504,M80),"hh:mm")&amp;"–"&amp;TEXT(INDEX(Escaleta!$E$1:$E$504,M80),"hh:mm"),"")))</f>
        <v/>
      </c>
      <c r="D80" s="49">
        <f>IF(N80=0,"",IF(N80&lt;&gt;N79,INDEX(Escaleta!$F$1:$F$504,N80),IF(N80&lt;&gt;N78,TEXT(INDEX(Escaleta!$C$1:$C$504,N80),"hh:mm")&amp;"–"&amp;TEXT(INDEX(Escaleta!$E$1:$E$504,N80),"hh:mm"),"")))</f>
        <v/>
      </c>
      <c r="E80" s="49">
        <f>IF(O80=0,"",IF(O80&lt;&gt;O79,INDEX(Escaleta!$F$1:$F$504,O80),IF(O80&lt;&gt;O78,TEXT(INDEX(Escaleta!$C$1:$C$504,O80),"hh:mm")&amp;"–"&amp;TEXT(INDEX(Escaleta!$E$1:$E$504,O80),"hh:mm"),"")))</f>
        <v/>
      </c>
      <c r="F80" s="49">
        <f>IF(P80=0,"",IF(P80&lt;&gt;P79,INDEX(Escaleta!$F$1:$F$504,P80),IF(P80&lt;&gt;P78,TEXT(INDEX(Escaleta!$C$1:$C$504,P80),"hh:mm")&amp;"–"&amp;TEXT(INDEX(Escaleta!$E$1:$E$504,P80),"hh:mm"),"")))</f>
        <v/>
      </c>
      <c r="G80" s="49">
        <f>IF(Q80=0,"",IF(Q80&lt;&gt;Q79,INDEX(Escaleta!$F$1:$F$504,Q80),IF(Q80&lt;&gt;Q78,TEXT(INDEX(Escaleta!$C$1:$C$504,Q80),"hh:mm")&amp;"–"&amp;TEXT(INDEX(Escaleta!$E$1:$E$504,Q80),"hh:mm"),"")))</f>
        <v/>
      </c>
      <c r="H80" s="49">
        <f>IF(R80=0,"",IF(R80&lt;&gt;R79,INDEX(Escaleta!$F$1:$F$504,R80),IF(R80&lt;&gt;R78,TEXT(INDEX(Escaleta!$C$1:$C$504,R80),"hh:mm")&amp;"–"&amp;TEXT(INDEX(Escaleta!$E$1:$E$504,R80),"hh:mm"),"")))</f>
        <v/>
      </c>
      <c r="I80" s="49">
        <f>IF(S80=0,"",IF(S80&lt;&gt;S79,INDEX(Escaleta!$F$1:$F$504,S80),IF(S80&lt;&gt;S78,TEXT(INDEX(Escaleta!$C$1:$C$504,S80),"hh:mm")&amp;"–"&amp;TEXT(INDEX(Escaleta!$E$1:$E$504,S80),"hh:mm"),"")))</f>
        <v/>
      </c>
      <c r="L80" s="50">
        <f>IF(OR($A80="",B$6=""),0,SUMPRODUCT(MAX((Escaleta!$A$5:$A$504=$B$4)*(Escaleta!$H$5:$H$504=B$6)*(Escaleta!$K$5:$K$504&lt;&gt;"Cancelada")*(Escaleta!$C$5:$C$504&lt;$A80+Configuración!$C$7/1440)*(Escaleta!$E$5:$E$504&gt;$A80)*ROW(Escaleta!$A$5:$A$504))))</f>
        <v/>
      </c>
      <c r="M80" s="50">
        <f>IF(OR($A80="",C$6=""),0,SUMPRODUCT(MAX((Escaleta!$A$5:$A$504=$B$4)*(Escaleta!$H$5:$H$504=C$6)*(Escaleta!$K$5:$K$504&lt;&gt;"Cancelada")*(Escaleta!$C$5:$C$504&lt;$A80+Configuración!$C$7/1440)*(Escaleta!$E$5:$E$504&gt;$A80)*ROW(Escaleta!$A$5:$A$504))))</f>
        <v/>
      </c>
      <c r="N80" s="50">
        <f>IF(OR($A80="",D$6=""),0,SUMPRODUCT(MAX((Escaleta!$A$5:$A$504=$B$4)*(Escaleta!$H$5:$H$504=D$6)*(Escaleta!$K$5:$K$504&lt;&gt;"Cancelada")*(Escaleta!$C$5:$C$504&lt;$A80+Configuración!$C$7/1440)*(Escaleta!$E$5:$E$504&gt;$A80)*ROW(Escaleta!$A$5:$A$504))))</f>
        <v/>
      </c>
      <c r="O80" s="50">
        <f>IF(OR($A80="",E$6=""),0,SUMPRODUCT(MAX((Escaleta!$A$5:$A$504=$B$4)*(Escaleta!$H$5:$H$504=E$6)*(Escaleta!$K$5:$K$504&lt;&gt;"Cancelada")*(Escaleta!$C$5:$C$504&lt;$A80+Configuración!$C$7/1440)*(Escaleta!$E$5:$E$504&gt;$A80)*ROW(Escaleta!$A$5:$A$504))))</f>
        <v/>
      </c>
      <c r="P80" s="50">
        <f>IF(OR($A80="",F$6=""),0,SUMPRODUCT(MAX((Escaleta!$A$5:$A$504=$B$4)*(Escaleta!$H$5:$H$504=F$6)*(Escaleta!$K$5:$K$504&lt;&gt;"Cancelada")*(Escaleta!$C$5:$C$504&lt;$A80+Configuración!$C$7/1440)*(Escaleta!$E$5:$E$504&gt;$A80)*ROW(Escaleta!$A$5:$A$504))))</f>
        <v/>
      </c>
      <c r="Q80" s="50">
        <f>IF(OR($A80="",G$6=""),0,SUMPRODUCT(MAX((Escaleta!$A$5:$A$504=$B$4)*(Escaleta!$H$5:$H$504=G$6)*(Escaleta!$K$5:$K$504&lt;&gt;"Cancelada")*(Escaleta!$C$5:$C$504&lt;$A80+Configuración!$C$7/1440)*(Escaleta!$E$5:$E$504&gt;$A80)*ROW(Escaleta!$A$5:$A$504))))</f>
        <v/>
      </c>
      <c r="R80" s="50">
        <f>IF(OR($A80="",H$6=""),0,SUMPRODUCT(MAX((Escaleta!$A$5:$A$504=$B$4)*(Escaleta!$H$5:$H$504=H$6)*(Escaleta!$K$5:$K$504&lt;&gt;"Cancelada")*(Escaleta!$C$5:$C$504&lt;$A80+Configuración!$C$7/1440)*(Escaleta!$E$5:$E$504&gt;$A80)*ROW(Escaleta!$A$5:$A$504))))</f>
        <v/>
      </c>
      <c r="S80" s="50">
        <f>IF(OR($A80="",I$6=""),0,SUMPRODUCT(MAX((Escaleta!$A$5:$A$504=$B$4)*(Escaleta!$H$5:$H$504=I$6)*(Escaleta!$K$5:$K$504&lt;&gt;"Cancelada")*(Escaleta!$C$5:$C$504&lt;$A80+Configuración!$C$7/1440)*(Escaleta!$E$5:$E$504&gt;$A80)*ROW(Escaleta!$A$5:$A$504))))</f>
        <v/>
      </c>
      <c r="U80" s="50">
        <f>IF(L80=0,"",INDEX(Escaleta!$I$1:$I$504,L80))</f>
        <v/>
      </c>
      <c r="V80" s="50">
        <f>IF(M80=0,"",INDEX(Escaleta!$I$1:$I$504,M80))</f>
        <v/>
      </c>
      <c r="W80" s="50">
        <f>IF(N80=0,"",INDEX(Escaleta!$I$1:$I$504,N80))</f>
        <v/>
      </c>
      <c r="X80" s="50">
        <f>IF(O80=0,"",INDEX(Escaleta!$I$1:$I$504,O80))</f>
        <v/>
      </c>
      <c r="Y80" s="50">
        <f>IF(P80=0,"",INDEX(Escaleta!$I$1:$I$504,P80))</f>
        <v/>
      </c>
      <c r="Z80" s="50">
        <f>IF(Q80=0,"",INDEX(Escaleta!$I$1:$I$504,Q80))</f>
        <v/>
      </c>
      <c r="AA80" s="50">
        <f>IF(R80=0,"",INDEX(Escaleta!$I$1:$I$504,R80))</f>
        <v/>
      </c>
      <c r="AB80" s="50">
        <f>IF(S80=0,"",INDEX(Escaleta!$I$1:$I$504,S80))</f>
        <v/>
      </c>
    </row>
    <row r="81" ht="18" customHeight="1">
      <c r="A81" s="48">
        <f>IF(A80="","",IF(A80+Configuración!$C$7/1440&gt;Configuración!$C$6-0.0001,"",A80+Configuración!$C$7/1440))</f>
        <v/>
      </c>
      <c r="B81" s="49">
        <f>IF(L81=0,"",IF(L81&lt;&gt;L80,INDEX(Escaleta!$F$1:$F$504,L81),IF(L81&lt;&gt;L79,TEXT(INDEX(Escaleta!$C$1:$C$504,L81),"hh:mm")&amp;"–"&amp;TEXT(INDEX(Escaleta!$E$1:$E$504,L81),"hh:mm"),"")))</f>
        <v/>
      </c>
      <c r="C81" s="49">
        <f>IF(M81=0,"",IF(M81&lt;&gt;M80,INDEX(Escaleta!$F$1:$F$504,M81),IF(M81&lt;&gt;M79,TEXT(INDEX(Escaleta!$C$1:$C$504,M81),"hh:mm")&amp;"–"&amp;TEXT(INDEX(Escaleta!$E$1:$E$504,M81),"hh:mm"),"")))</f>
        <v/>
      </c>
      <c r="D81" s="49">
        <f>IF(N81=0,"",IF(N81&lt;&gt;N80,INDEX(Escaleta!$F$1:$F$504,N81),IF(N81&lt;&gt;N79,TEXT(INDEX(Escaleta!$C$1:$C$504,N81),"hh:mm")&amp;"–"&amp;TEXT(INDEX(Escaleta!$E$1:$E$504,N81),"hh:mm"),"")))</f>
        <v/>
      </c>
      <c r="E81" s="49">
        <f>IF(O81=0,"",IF(O81&lt;&gt;O80,INDEX(Escaleta!$F$1:$F$504,O81),IF(O81&lt;&gt;O79,TEXT(INDEX(Escaleta!$C$1:$C$504,O81),"hh:mm")&amp;"–"&amp;TEXT(INDEX(Escaleta!$E$1:$E$504,O81),"hh:mm"),"")))</f>
        <v/>
      </c>
      <c r="F81" s="49">
        <f>IF(P81=0,"",IF(P81&lt;&gt;P80,INDEX(Escaleta!$F$1:$F$504,P81),IF(P81&lt;&gt;P79,TEXT(INDEX(Escaleta!$C$1:$C$504,P81),"hh:mm")&amp;"–"&amp;TEXT(INDEX(Escaleta!$E$1:$E$504,P81),"hh:mm"),"")))</f>
        <v/>
      </c>
      <c r="G81" s="49">
        <f>IF(Q81=0,"",IF(Q81&lt;&gt;Q80,INDEX(Escaleta!$F$1:$F$504,Q81),IF(Q81&lt;&gt;Q79,TEXT(INDEX(Escaleta!$C$1:$C$504,Q81),"hh:mm")&amp;"–"&amp;TEXT(INDEX(Escaleta!$E$1:$E$504,Q81),"hh:mm"),"")))</f>
        <v/>
      </c>
      <c r="H81" s="49">
        <f>IF(R81=0,"",IF(R81&lt;&gt;R80,INDEX(Escaleta!$F$1:$F$504,R81),IF(R81&lt;&gt;R79,TEXT(INDEX(Escaleta!$C$1:$C$504,R81),"hh:mm")&amp;"–"&amp;TEXT(INDEX(Escaleta!$E$1:$E$504,R81),"hh:mm"),"")))</f>
        <v/>
      </c>
      <c r="I81" s="49">
        <f>IF(S81=0,"",IF(S81&lt;&gt;S80,INDEX(Escaleta!$F$1:$F$504,S81),IF(S81&lt;&gt;S79,TEXT(INDEX(Escaleta!$C$1:$C$504,S81),"hh:mm")&amp;"–"&amp;TEXT(INDEX(Escaleta!$E$1:$E$504,S81),"hh:mm"),"")))</f>
        <v/>
      </c>
      <c r="L81" s="50">
        <f>IF(OR($A81="",B$6=""),0,SUMPRODUCT(MAX((Escaleta!$A$5:$A$504=$B$4)*(Escaleta!$H$5:$H$504=B$6)*(Escaleta!$K$5:$K$504&lt;&gt;"Cancelada")*(Escaleta!$C$5:$C$504&lt;$A81+Configuración!$C$7/1440)*(Escaleta!$E$5:$E$504&gt;$A81)*ROW(Escaleta!$A$5:$A$504))))</f>
        <v/>
      </c>
      <c r="M81" s="50">
        <f>IF(OR($A81="",C$6=""),0,SUMPRODUCT(MAX((Escaleta!$A$5:$A$504=$B$4)*(Escaleta!$H$5:$H$504=C$6)*(Escaleta!$K$5:$K$504&lt;&gt;"Cancelada")*(Escaleta!$C$5:$C$504&lt;$A81+Configuración!$C$7/1440)*(Escaleta!$E$5:$E$504&gt;$A81)*ROW(Escaleta!$A$5:$A$504))))</f>
        <v/>
      </c>
      <c r="N81" s="50">
        <f>IF(OR($A81="",D$6=""),0,SUMPRODUCT(MAX((Escaleta!$A$5:$A$504=$B$4)*(Escaleta!$H$5:$H$504=D$6)*(Escaleta!$K$5:$K$504&lt;&gt;"Cancelada")*(Escaleta!$C$5:$C$504&lt;$A81+Configuración!$C$7/1440)*(Escaleta!$E$5:$E$504&gt;$A81)*ROW(Escaleta!$A$5:$A$504))))</f>
        <v/>
      </c>
      <c r="O81" s="50">
        <f>IF(OR($A81="",E$6=""),0,SUMPRODUCT(MAX((Escaleta!$A$5:$A$504=$B$4)*(Escaleta!$H$5:$H$504=E$6)*(Escaleta!$K$5:$K$504&lt;&gt;"Cancelada")*(Escaleta!$C$5:$C$504&lt;$A81+Configuración!$C$7/1440)*(Escaleta!$E$5:$E$504&gt;$A81)*ROW(Escaleta!$A$5:$A$504))))</f>
        <v/>
      </c>
      <c r="P81" s="50">
        <f>IF(OR($A81="",F$6=""),0,SUMPRODUCT(MAX((Escaleta!$A$5:$A$504=$B$4)*(Escaleta!$H$5:$H$504=F$6)*(Escaleta!$K$5:$K$504&lt;&gt;"Cancelada")*(Escaleta!$C$5:$C$504&lt;$A81+Configuración!$C$7/1440)*(Escaleta!$E$5:$E$504&gt;$A81)*ROW(Escaleta!$A$5:$A$504))))</f>
        <v/>
      </c>
      <c r="Q81" s="50">
        <f>IF(OR($A81="",G$6=""),0,SUMPRODUCT(MAX((Escaleta!$A$5:$A$504=$B$4)*(Escaleta!$H$5:$H$504=G$6)*(Escaleta!$K$5:$K$504&lt;&gt;"Cancelada")*(Escaleta!$C$5:$C$504&lt;$A81+Configuración!$C$7/1440)*(Escaleta!$E$5:$E$504&gt;$A81)*ROW(Escaleta!$A$5:$A$504))))</f>
        <v/>
      </c>
      <c r="R81" s="50">
        <f>IF(OR($A81="",H$6=""),0,SUMPRODUCT(MAX((Escaleta!$A$5:$A$504=$B$4)*(Escaleta!$H$5:$H$504=H$6)*(Escaleta!$K$5:$K$504&lt;&gt;"Cancelada")*(Escaleta!$C$5:$C$504&lt;$A81+Configuración!$C$7/1440)*(Escaleta!$E$5:$E$504&gt;$A81)*ROW(Escaleta!$A$5:$A$504))))</f>
        <v/>
      </c>
      <c r="S81" s="50">
        <f>IF(OR($A81="",I$6=""),0,SUMPRODUCT(MAX((Escaleta!$A$5:$A$504=$B$4)*(Escaleta!$H$5:$H$504=I$6)*(Escaleta!$K$5:$K$504&lt;&gt;"Cancelada")*(Escaleta!$C$5:$C$504&lt;$A81+Configuración!$C$7/1440)*(Escaleta!$E$5:$E$504&gt;$A81)*ROW(Escaleta!$A$5:$A$504))))</f>
        <v/>
      </c>
      <c r="U81" s="50">
        <f>IF(L81=0,"",INDEX(Escaleta!$I$1:$I$504,L81))</f>
        <v/>
      </c>
      <c r="V81" s="50">
        <f>IF(M81=0,"",INDEX(Escaleta!$I$1:$I$504,M81))</f>
        <v/>
      </c>
      <c r="W81" s="50">
        <f>IF(N81=0,"",INDEX(Escaleta!$I$1:$I$504,N81))</f>
        <v/>
      </c>
      <c r="X81" s="50">
        <f>IF(O81=0,"",INDEX(Escaleta!$I$1:$I$504,O81))</f>
        <v/>
      </c>
      <c r="Y81" s="50">
        <f>IF(P81=0,"",INDEX(Escaleta!$I$1:$I$504,P81))</f>
        <v/>
      </c>
      <c r="Z81" s="50">
        <f>IF(Q81=0,"",INDEX(Escaleta!$I$1:$I$504,Q81))</f>
        <v/>
      </c>
      <c r="AA81" s="50">
        <f>IF(R81=0,"",INDEX(Escaleta!$I$1:$I$504,R81))</f>
        <v/>
      </c>
      <c r="AB81" s="50">
        <f>IF(S81=0,"",INDEX(Escaleta!$I$1:$I$504,S81))</f>
        <v/>
      </c>
    </row>
    <row r="82" ht="18" customHeight="1">
      <c r="A82" s="48">
        <f>IF(A81="","",IF(A81+Configuración!$C$7/1440&gt;Configuración!$C$6-0.0001,"",A81+Configuración!$C$7/1440))</f>
        <v/>
      </c>
      <c r="B82" s="49">
        <f>IF(L82=0,"",IF(L82&lt;&gt;L81,INDEX(Escaleta!$F$1:$F$504,L82),IF(L82&lt;&gt;L80,TEXT(INDEX(Escaleta!$C$1:$C$504,L82),"hh:mm")&amp;"–"&amp;TEXT(INDEX(Escaleta!$E$1:$E$504,L82),"hh:mm"),"")))</f>
        <v/>
      </c>
      <c r="C82" s="49">
        <f>IF(M82=0,"",IF(M82&lt;&gt;M81,INDEX(Escaleta!$F$1:$F$504,M82),IF(M82&lt;&gt;M80,TEXT(INDEX(Escaleta!$C$1:$C$504,M82),"hh:mm")&amp;"–"&amp;TEXT(INDEX(Escaleta!$E$1:$E$504,M82),"hh:mm"),"")))</f>
        <v/>
      </c>
      <c r="D82" s="49">
        <f>IF(N82=0,"",IF(N82&lt;&gt;N81,INDEX(Escaleta!$F$1:$F$504,N82),IF(N82&lt;&gt;N80,TEXT(INDEX(Escaleta!$C$1:$C$504,N82),"hh:mm")&amp;"–"&amp;TEXT(INDEX(Escaleta!$E$1:$E$504,N82),"hh:mm"),"")))</f>
        <v/>
      </c>
      <c r="E82" s="49">
        <f>IF(O82=0,"",IF(O82&lt;&gt;O81,INDEX(Escaleta!$F$1:$F$504,O82),IF(O82&lt;&gt;O80,TEXT(INDEX(Escaleta!$C$1:$C$504,O82),"hh:mm")&amp;"–"&amp;TEXT(INDEX(Escaleta!$E$1:$E$504,O82),"hh:mm"),"")))</f>
        <v/>
      </c>
      <c r="F82" s="49">
        <f>IF(P82=0,"",IF(P82&lt;&gt;P81,INDEX(Escaleta!$F$1:$F$504,P82),IF(P82&lt;&gt;P80,TEXT(INDEX(Escaleta!$C$1:$C$504,P82),"hh:mm")&amp;"–"&amp;TEXT(INDEX(Escaleta!$E$1:$E$504,P82),"hh:mm"),"")))</f>
        <v/>
      </c>
      <c r="G82" s="49">
        <f>IF(Q82=0,"",IF(Q82&lt;&gt;Q81,INDEX(Escaleta!$F$1:$F$504,Q82),IF(Q82&lt;&gt;Q80,TEXT(INDEX(Escaleta!$C$1:$C$504,Q82),"hh:mm")&amp;"–"&amp;TEXT(INDEX(Escaleta!$E$1:$E$504,Q82),"hh:mm"),"")))</f>
        <v/>
      </c>
      <c r="H82" s="49">
        <f>IF(R82=0,"",IF(R82&lt;&gt;R81,INDEX(Escaleta!$F$1:$F$504,R82),IF(R82&lt;&gt;R80,TEXT(INDEX(Escaleta!$C$1:$C$504,R82),"hh:mm")&amp;"–"&amp;TEXT(INDEX(Escaleta!$E$1:$E$504,R82),"hh:mm"),"")))</f>
        <v/>
      </c>
      <c r="I82" s="49">
        <f>IF(S82=0,"",IF(S82&lt;&gt;S81,INDEX(Escaleta!$F$1:$F$504,S82),IF(S82&lt;&gt;S80,TEXT(INDEX(Escaleta!$C$1:$C$504,S82),"hh:mm")&amp;"–"&amp;TEXT(INDEX(Escaleta!$E$1:$E$504,S82),"hh:mm"),"")))</f>
        <v/>
      </c>
      <c r="L82" s="50">
        <f>IF(OR($A82="",B$6=""),0,SUMPRODUCT(MAX((Escaleta!$A$5:$A$504=$B$4)*(Escaleta!$H$5:$H$504=B$6)*(Escaleta!$K$5:$K$504&lt;&gt;"Cancelada")*(Escaleta!$C$5:$C$504&lt;$A82+Configuración!$C$7/1440)*(Escaleta!$E$5:$E$504&gt;$A82)*ROW(Escaleta!$A$5:$A$504))))</f>
        <v/>
      </c>
      <c r="M82" s="50">
        <f>IF(OR($A82="",C$6=""),0,SUMPRODUCT(MAX((Escaleta!$A$5:$A$504=$B$4)*(Escaleta!$H$5:$H$504=C$6)*(Escaleta!$K$5:$K$504&lt;&gt;"Cancelada")*(Escaleta!$C$5:$C$504&lt;$A82+Configuración!$C$7/1440)*(Escaleta!$E$5:$E$504&gt;$A82)*ROW(Escaleta!$A$5:$A$504))))</f>
        <v/>
      </c>
      <c r="N82" s="50">
        <f>IF(OR($A82="",D$6=""),0,SUMPRODUCT(MAX((Escaleta!$A$5:$A$504=$B$4)*(Escaleta!$H$5:$H$504=D$6)*(Escaleta!$K$5:$K$504&lt;&gt;"Cancelada")*(Escaleta!$C$5:$C$504&lt;$A82+Configuración!$C$7/1440)*(Escaleta!$E$5:$E$504&gt;$A82)*ROW(Escaleta!$A$5:$A$504))))</f>
        <v/>
      </c>
      <c r="O82" s="50">
        <f>IF(OR($A82="",E$6=""),0,SUMPRODUCT(MAX((Escaleta!$A$5:$A$504=$B$4)*(Escaleta!$H$5:$H$504=E$6)*(Escaleta!$K$5:$K$504&lt;&gt;"Cancelada")*(Escaleta!$C$5:$C$504&lt;$A82+Configuración!$C$7/1440)*(Escaleta!$E$5:$E$504&gt;$A82)*ROW(Escaleta!$A$5:$A$504))))</f>
        <v/>
      </c>
      <c r="P82" s="50">
        <f>IF(OR($A82="",F$6=""),0,SUMPRODUCT(MAX((Escaleta!$A$5:$A$504=$B$4)*(Escaleta!$H$5:$H$504=F$6)*(Escaleta!$K$5:$K$504&lt;&gt;"Cancelada")*(Escaleta!$C$5:$C$504&lt;$A82+Configuración!$C$7/1440)*(Escaleta!$E$5:$E$504&gt;$A82)*ROW(Escaleta!$A$5:$A$504))))</f>
        <v/>
      </c>
      <c r="Q82" s="50">
        <f>IF(OR($A82="",G$6=""),0,SUMPRODUCT(MAX((Escaleta!$A$5:$A$504=$B$4)*(Escaleta!$H$5:$H$504=G$6)*(Escaleta!$K$5:$K$504&lt;&gt;"Cancelada")*(Escaleta!$C$5:$C$504&lt;$A82+Configuración!$C$7/1440)*(Escaleta!$E$5:$E$504&gt;$A82)*ROW(Escaleta!$A$5:$A$504))))</f>
        <v/>
      </c>
      <c r="R82" s="50">
        <f>IF(OR($A82="",H$6=""),0,SUMPRODUCT(MAX((Escaleta!$A$5:$A$504=$B$4)*(Escaleta!$H$5:$H$504=H$6)*(Escaleta!$K$5:$K$504&lt;&gt;"Cancelada")*(Escaleta!$C$5:$C$504&lt;$A82+Configuración!$C$7/1440)*(Escaleta!$E$5:$E$504&gt;$A82)*ROW(Escaleta!$A$5:$A$504))))</f>
        <v/>
      </c>
      <c r="S82" s="50">
        <f>IF(OR($A82="",I$6=""),0,SUMPRODUCT(MAX((Escaleta!$A$5:$A$504=$B$4)*(Escaleta!$H$5:$H$504=I$6)*(Escaleta!$K$5:$K$504&lt;&gt;"Cancelada")*(Escaleta!$C$5:$C$504&lt;$A82+Configuración!$C$7/1440)*(Escaleta!$E$5:$E$504&gt;$A82)*ROW(Escaleta!$A$5:$A$504))))</f>
        <v/>
      </c>
      <c r="U82" s="50">
        <f>IF(L82=0,"",INDEX(Escaleta!$I$1:$I$504,L82))</f>
        <v/>
      </c>
      <c r="V82" s="50">
        <f>IF(M82=0,"",INDEX(Escaleta!$I$1:$I$504,M82))</f>
        <v/>
      </c>
      <c r="W82" s="50">
        <f>IF(N82=0,"",INDEX(Escaleta!$I$1:$I$504,N82))</f>
        <v/>
      </c>
      <c r="X82" s="50">
        <f>IF(O82=0,"",INDEX(Escaleta!$I$1:$I$504,O82))</f>
        <v/>
      </c>
      <c r="Y82" s="50">
        <f>IF(P82=0,"",INDEX(Escaleta!$I$1:$I$504,P82))</f>
        <v/>
      </c>
      <c r="Z82" s="50">
        <f>IF(Q82=0,"",INDEX(Escaleta!$I$1:$I$504,Q82))</f>
        <v/>
      </c>
      <c r="AA82" s="50">
        <f>IF(R82=0,"",INDEX(Escaleta!$I$1:$I$504,R82))</f>
        <v/>
      </c>
      <c r="AB82" s="50">
        <f>IF(S82=0,"",INDEX(Escaleta!$I$1:$I$504,S82))</f>
        <v/>
      </c>
    </row>
    <row r="83" ht="18" customHeight="1">
      <c r="A83" s="48">
        <f>IF(A82="","",IF(A82+Configuración!$C$7/1440&gt;Configuración!$C$6-0.0001,"",A82+Configuración!$C$7/1440))</f>
        <v/>
      </c>
      <c r="B83" s="49">
        <f>IF(L83=0,"",IF(L83&lt;&gt;L82,INDEX(Escaleta!$F$1:$F$504,L83),IF(L83&lt;&gt;L81,TEXT(INDEX(Escaleta!$C$1:$C$504,L83),"hh:mm")&amp;"–"&amp;TEXT(INDEX(Escaleta!$E$1:$E$504,L83),"hh:mm"),"")))</f>
        <v/>
      </c>
      <c r="C83" s="49">
        <f>IF(M83=0,"",IF(M83&lt;&gt;M82,INDEX(Escaleta!$F$1:$F$504,M83),IF(M83&lt;&gt;M81,TEXT(INDEX(Escaleta!$C$1:$C$504,M83),"hh:mm")&amp;"–"&amp;TEXT(INDEX(Escaleta!$E$1:$E$504,M83),"hh:mm"),"")))</f>
        <v/>
      </c>
      <c r="D83" s="49">
        <f>IF(N83=0,"",IF(N83&lt;&gt;N82,INDEX(Escaleta!$F$1:$F$504,N83),IF(N83&lt;&gt;N81,TEXT(INDEX(Escaleta!$C$1:$C$504,N83),"hh:mm")&amp;"–"&amp;TEXT(INDEX(Escaleta!$E$1:$E$504,N83),"hh:mm"),"")))</f>
        <v/>
      </c>
      <c r="E83" s="49">
        <f>IF(O83=0,"",IF(O83&lt;&gt;O82,INDEX(Escaleta!$F$1:$F$504,O83),IF(O83&lt;&gt;O81,TEXT(INDEX(Escaleta!$C$1:$C$504,O83),"hh:mm")&amp;"–"&amp;TEXT(INDEX(Escaleta!$E$1:$E$504,O83),"hh:mm"),"")))</f>
        <v/>
      </c>
      <c r="F83" s="49">
        <f>IF(P83=0,"",IF(P83&lt;&gt;P82,INDEX(Escaleta!$F$1:$F$504,P83),IF(P83&lt;&gt;P81,TEXT(INDEX(Escaleta!$C$1:$C$504,P83),"hh:mm")&amp;"–"&amp;TEXT(INDEX(Escaleta!$E$1:$E$504,P83),"hh:mm"),"")))</f>
        <v/>
      </c>
      <c r="G83" s="49">
        <f>IF(Q83=0,"",IF(Q83&lt;&gt;Q82,INDEX(Escaleta!$F$1:$F$504,Q83),IF(Q83&lt;&gt;Q81,TEXT(INDEX(Escaleta!$C$1:$C$504,Q83),"hh:mm")&amp;"–"&amp;TEXT(INDEX(Escaleta!$E$1:$E$504,Q83),"hh:mm"),"")))</f>
        <v/>
      </c>
      <c r="H83" s="49">
        <f>IF(R83=0,"",IF(R83&lt;&gt;R82,INDEX(Escaleta!$F$1:$F$504,R83),IF(R83&lt;&gt;R81,TEXT(INDEX(Escaleta!$C$1:$C$504,R83),"hh:mm")&amp;"–"&amp;TEXT(INDEX(Escaleta!$E$1:$E$504,R83),"hh:mm"),"")))</f>
        <v/>
      </c>
      <c r="I83" s="49">
        <f>IF(S83=0,"",IF(S83&lt;&gt;S82,INDEX(Escaleta!$F$1:$F$504,S83),IF(S83&lt;&gt;S81,TEXT(INDEX(Escaleta!$C$1:$C$504,S83),"hh:mm")&amp;"–"&amp;TEXT(INDEX(Escaleta!$E$1:$E$504,S83),"hh:mm"),"")))</f>
        <v/>
      </c>
      <c r="L83" s="50">
        <f>IF(OR($A83="",B$6=""),0,SUMPRODUCT(MAX((Escaleta!$A$5:$A$504=$B$4)*(Escaleta!$H$5:$H$504=B$6)*(Escaleta!$K$5:$K$504&lt;&gt;"Cancelada")*(Escaleta!$C$5:$C$504&lt;$A83+Configuración!$C$7/1440)*(Escaleta!$E$5:$E$504&gt;$A83)*ROW(Escaleta!$A$5:$A$504))))</f>
        <v/>
      </c>
      <c r="M83" s="50">
        <f>IF(OR($A83="",C$6=""),0,SUMPRODUCT(MAX((Escaleta!$A$5:$A$504=$B$4)*(Escaleta!$H$5:$H$504=C$6)*(Escaleta!$K$5:$K$504&lt;&gt;"Cancelada")*(Escaleta!$C$5:$C$504&lt;$A83+Configuración!$C$7/1440)*(Escaleta!$E$5:$E$504&gt;$A83)*ROW(Escaleta!$A$5:$A$504))))</f>
        <v/>
      </c>
      <c r="N83" s="50">
        <f>IF(OR($A83="",D$6=""),0,SUMPRODUCT(MAX((Escaleta!$A$5:$A$504=$B$4)*(Escaleta!$H$5:$H$504=D$6)*(Escaleta!$K$5:$K$504&lt;&gt;"Cancelada")*(Escaleta!$C$5:$C$504&lt;$A83+Configuración!$C$7/1440)*(Escaleta!$E$5:$E$504&gt;$A83)*ROW(Escaleta!$A$5:$A$504))))</f>
        <v/>
      </c>
      <c r="O83" s="50">
        <f>IF(OR($A83="",E$6=""),0,SUMPRODUCT(MAX((Escaleta!$A$5:$A$504=$B$4)*(Escaleta!$H$5:$H$504=E$6)*(Escaleta!$K$5:$K$504&lt;&gt;"Cancelada")*(Escaleta!$C$5:$C$504&lt;$A83+Configuración!$C$7/1440)*(Escaleta!$E$5:$E$504&gt;$A83)*ROW(Escaleta!$A$5:$A$504))))</f>
        <v/>
      </c>
      <c r="P83" s="50">
        <f>IF(OR($A83="",F$6=""),0,SUMPRODUCT(MAX((Escaleta!$A$5:$A$504=$B$4)*(Escaleta!$H$5:$H$504=F$6)*(Escaleta!$K$5:$K$504&lt;&gt;"Cancelada")*(Escaleta!$C$5:$C$504&lt;$A83+Configuración!$C$7/1440)*(Escaleta!$E$5:$E$504&gt;$A83)*ROW(Escaleta!$A$5:$A$504))))</f>
        <v/>
      </c>
      <c r="Q83" s="50">
        <f>IF(OR($A83="",G$6=""),0,SUMPRODUCT(MAX((Escaleta!$A$5:$A$504=$B$4)*(Escaleta!$H$5:$H$504=G$6)*(Escaleta!$K$5:$K$504&lt;&gt;"Cancelada")*(Escaleta!$C$5:$C$504&lt;$A83+Configuración!$C$7/1440)*(Escaleta!$E$5:$E$504&gt;$A83)*ROW(Escaleta!$A$5:$A$504))))</f>
        <v/>
      </c>
      <c r="R83" s="50">
        <f>IF(OR($A83="",H$6=""),0,SUMPRODUCT(MAX((Escaleta!$A$5:$A$504=$B$4)*(Escaleta!$H$5:$H$504=H$6)*(Escaleta!$K$5:$K$504&lt;&gt;"Cancelada")*(Escaleta!$C$5:$C$504&lt;$A83+Configuración!$C$7/1440)*(Escaleta!$E$5:$E$504&gt;$A83)*ROW(Escaleta!$A$5:$A$504))))</f>
        <v/>
      </c>
      <c r="S83" s="50">
        <f>IF(OR($A83="",I$6=""),0,SUMPRODUCT(MAX((Escaleta!$A$5:$A$504=$B$4)*(Escaleta!$H$5:$H$504=I$6)*(Escaleta!$K$5:$K$504&lt;&gt;"Cancelada")*(Escaleta!$C$5:$C$504&lt;$A83+Configuración!$C$7/1440)*(Escaleta!$E$5:$E$504&gt;$A83)*ROW(Escaleta!$A$5:$A$504))))</f>
        <v/>
      </c>
      <c r="U83" s="50">
        <f>IF(L83=0,"",INDEX(Escaleta!$I$1:$I$504,L83))</f>
        <v/>
      </c>
      <c r="V83" s="50">
        <f>IF(M83=0,"",INDEX(Escaleta!$I$1:$I$504,M83))</f>
        <v/>
      </c>
      <c r="W83" s="50">
        <f>IF(N83=0,"",INDEX(Escaleta!$I$1:$I$504,N83))</f>
        <v/>
      </c>
      <c r="X83" s="50">
        <f>IF(O83=0,"",INDEX(Escaleta!$I$1:$I$504,O83))</f>
        <v/>
      </c>
      <c r="Y83" s="50">
        <f>IF(P83=0,"",INDEX(Escaleta!$I$1:$I$504,P83))</f>
        <v/>
      </c>
      <c r="Z83" s="50">
        <f>IF(Q83=0,"",INDEX(Escaleta!$I$1:$I$504,Q83))</f>
        <v/>
      </c>
      <c r="AA83" s="50">
        <f>IF(R83=0,"",INDEX(Escaleta!$I$1:$I$504,R83))</f>
        <v/>
      </c>
      <c r="AB83" s="50">
        <f>IF(S83=0,"",INDEX(Escaleta!$I$1:$I$504,S83))</f>
        <v/>
      </c>
    </row>
    <row r="84" ht="18" customHeight="1">
      <c r="A84" s="48">
        <f>IF(A83="","",IF(A83+Configuración!$C$7/1440&gt;Configuración!$C$6-0.0001,"",A83+Configuración!$C$7/1440))</f>
        <v/>
      </c>
      <c r="B84" s="49">
        <f>IF(L84=0,"",IF(L84&lt;&gt;L83,INDEX(Escaleta!$F$1:$F$504,L84),IF(L84&lt;&gt;L82,TEXT(INDEX(Escaleta!$C$1:$C$504,L84),"hh:mm")&amp;"–"&amp;TEXT(INDEX(Escaleta!$E$1:$E$504,L84),"hh:mm"),"")))</f>
        <v/>
      </c>
      <c r="C84" s="49">
        <f>IF(M84=0,"",IF(M84&lt;&gt;M83,INDEX(Escaleta!$F$1:$F$504,M84),IF(M84&lt;&gt;M82,TEXT(INDEX(Escaleta!$C$1:$C$504,M84),"hh:mm")&amp;"–"&amp;TEXT(INDEX(Escaleta!$E$1:$E$504,M84),"hh:mm"),"")))</f>
        <v/>
      </c>
      <c r="D84" s="49">
        <f>IF(N84=0,"",IF(N84&lt;&gt;N83,INDEX(Escaleta!$F$1:$F$504,N84),IF(N84&lt;&gt;N82,TEXT(INDEX(Escaleta!$C$1:$C$504,N84),"hh:mm")&amp;"–"&amp;TEXT(INDEX(Escaleta!$E$1:$E$504,N84),"hh:mm"),"")))</f>
        <v/>
      </c>
      <c r="E84" s="49">
        <f>IF(O84=0,"",IF(O84&lt;&gt;O83,INDEX(Escaleta!$F$1:$F$504,O84),IF(O84&lt;&gt;O82,TEXT(INDEX(Escaleta!$C$1:$C$504,O84),"hh:mm")&amp;"–"&amp;TEXT(INDEX(Escaleta!$E$1:$E$504,O84),"hh:mm"),"")))</f>
        <v/>
      </c>
      <c r="F84" s="49">
        <f>IF(P84=0,"",IF(P84&lt;&gt;P83,INDEX(Escaleta!$F$1:$F$504,P84),IF(P84&lt;&gt;P82,TEXT(INDEX(Escaleta!$C$1:$C$504,P84),"hh:mm")&amp;"–"&amp;TEXT(INDEX(Escaleta!$E$1:$E$504,P84),"hh:mm"),"")))</f>
        <v/>
      </c>
      <c r="G84" s="49">
        <f>IF(Q84=0,"",IF(Q84&lt;&gt;Q83,INDEX(Escaleta!$F$1:$F$504,Q84),IF(Q84&lt;&gt;Q82,TEXT(INDEX(Escaleta!$C$1:$C$504,Q84),"hh:mm")&amp;"–"&amp;TEXT(INDEX(Escaleta!$E$1:$E$504,Q84),"hh:mm"),"")))</f>
        <v/>
      </c>
      <c r="H84" s="49">
        <f>IF(R84=0,"",IF(R84&lt;&gt;R83,INDEX(Escaleta!$F$1:$F$504,R84),IF(R84&lt;&gt;R82,TEXT(INDEX(Escaleta!$C$1:$C$504,R84),"hh:mm")&amp;"–"&amp;TEXT(INDEX(Escaleta!$E$1:$E$504,R84),"hh:mm"),"")))</f>
        <v/>
      </c>
      <c r="I84" s="49">
        <f>IF(S84=0,"",IF(S84&lt;&gt;S83,INDEX(Escaleta!$F$1:$F$504,S84),IF(S84&lt;&gt;S82,TEXT(INDEX(Escaleta!$C$1:$C$504,S84),"hh:mm")&amp;"–"&amp;TEXT(INDEX(Escaleta!$E$1:$E$504,S84),"hh:mm"),"")))</f>
        <v/>
      </c>
      <c r="L84" s="50">
        <f>IF(OR($A84="",B$6=""),0,SUMPRODUCT(MAX((Escaleta!$A$5:$A$504=$B$4)*(Escaleta!$H$5:$H$504=B$6)*(Escaleta!$K$5:$K$504&lt;&gt;"Cancelada")*(Escaleta!$C$5:$C$504&lt;$A84+Configuración!$C$7/1440)*(Escaleta!$E$5:$E$504&gt;$A84)*ROW(Escaleta!$A$5:$A$504))))</f>
        <v/>
      </c>
      <c r="M84" s="50">
        <f>IF(OR($A84="",C$6=""),0,SUMPRODUCT(MAX((Escaleta!$A$5:$A$504=$B$4)*(Escaleta!$H$5:$H$504=C$6)*(Escaleta!$K$5:$K$504&lt;&gt;"Cancelada")*(Escaleta!$C$5:$C$504&lt;$A84+Configuración!$C$7/1440)*(Escaleta!$E$5:$E$504&gt;$A84)*ROW(Escaleta!$A$5:$A$504))))</f>
        <v/>
      </c>
      <c r="N84" s="50">
        <f>IF(OR($A84="",D$6=""),0,SUMPRODUCT(MAX((Escaleta!$A$5:$A$504=$B$4)*(Escaleta!$H$5:$H$504=D$6)*(Escaleta!$K$5:$K$504&lt;&gt;"Cancelada")*(Escaleta!$C$5:$C$504&lt;$A84+Configuración!$C$7/1440)*(Escaleta!$E$5:$E$504&gt;$A84)*ROW(Escaleta!$A$5:$A$504))))</f>
        <v/>
      </c>
      <c r="O84" s="50">
        <f>IF(OR($A84="",E$6=""),0,SUMPRODUCT(MAX((Escaleta!$A$5:$A$504=$B$4)*(Escaleta!$H$5:$H$504=E$6)*(Escaleta!$K$5:$K$504&lt;&gt;"Cancelada")*(Escaleta!$C$5:$C$504&lt;$A84+Configuración!$C$7/1440)*(Escaleta!$E$5:$E$504&gt;$A84)*ROW(Escaleta!$A$5:$A$504))))</f>
        <v/>
      </c>
      <c r="P84" s="50">
        <f>IF(OR($A84="",F$6=""),0,SUMPRODUCT(MAX((Escaleta!$A$5:$A$504=$B$4)*(Escaleta!$H$5:$H$504=F$6)*(Escaleta!$K$5:$K$504&lt;&gt;"Cancelada")*(Escaleta!$C$5:$C$504&lt;$A84+Configuración!$C$7/1440)*(Escaleta!$E$5:$E$504&gt;$A84)*ROW(Escaleta!$A$5:$A$504))))</f>
        <v/>
      </c>
      <c r="Q84" s="50">
        <f>IF(OR($A84="",G$6=""),0,SUMPRODUCT(MAX((Escaleta!$A$5:$A$504=$B$4)*(Escaleta!$H$5:$H$504=G$6)*(Escaleta!$K$5:$K$504&lt;&gt;"Cancelada")*(Escaleta!$C$5:$C$504&lt;$A84+Configuración!$C$7/1440)*(Escaleta!$E$5:$E$504&gt;$A84)*ROW(Escaleta!$A$5:$A$504))))</f>
        <v/>
      </c>
      <c r="R84" s="50">
        <f>IF(OR($A84="",H$6=""),0,SUMPRODUCT(MAX((Escaleta!$A$5:$A$504=$B$4)*(Escaleta!$H$5:$H$504=H$6)*(Escaleta!$K$5:$K$504&lt;&gt;"Cancelada")*(Escaleta!$C$5:$C$504&lt;$A84+Configuración!$C$7/1440)*(Escaleta!$E$5:$E$504&gt;$A84)*ROW(Escaleta!$A$5:$A$504))))</f>
        <v/>
      </c>
      <c r="S84" s="50">
        <f>IF(OR($A84="",I$6=""),0,SUMPRODUCT(MAX((Escaleta!$A$5:$A$504=$B$4)*(Escaleta!$H$5:$H$504=I$6)*(Escaleta!$K$5:$K$504&lt;&gt;"Cancelada")*(Escaleta!$C$5:$C$504&lt;$A84+Configuración!$C$7/1440)*(Escaleta!$E$5:$E$504&gt;$A84)*ROW(Escaleta!$A$5:$A$504))))</f>
        <v/>
      </c>
      <c r="U84" s="50">
        <f>IF(L84=0,"",INDEX(Escaleta!$I$1:$I$504,L84))</f>
        <v/>
      </c>
      <c r="V84" s="50">
        <f>IF(M84=0,"",INDEX(Escaleta!$I$1:$I$504,M84))</f>
        <v/>
      </c>
      <c r="W84" s="50">
        <f>IF(N84=0,"",INDEX(Escaleta!$I$1:$I$504,N84))</f>
        <v/>
      </c>
      <c r="X84" s="50">
        <f>IF(O84=0,"",INDEX(Escaleta!$I$1:$I$504,O84))</f>
        <v/>
      </c>
      <c r="Y84" s="50">
        <f>IF(P84=0,"",INDEX(Escaleta!$I$1:$I$504,P84))</f>
        <v/>
      </c>
      <c r="Z84" s="50">
        <f>IF(Q84=0,"",INDEX(Escaleta!$I$1:$I$504,Q84))</f>
        <v/>
      </c>
      <c r="AA84" s="50">
        <f>IF(R84=0,"",INDEX(Escaleta!$I$1:$I$504,R84))</f>
        <v/>
      </c>
      <c r="AB84" s="50">
        <f>IF(S84=0,"",INDEX(Escaleta!$I$1:$I$504,S84))</f>
        <v/>
      </c>
    </row>
    <row r="85" ht="18" customHeight="1">
      <c r="A85" s="48">
        <f>IF(A84="","",IF(A84+Configuración!$C$7/1440&gt;Configuración!$C$6-0.0001,"",A84+Configuración!$C$7/1440))</f>
        <v/>
      </c>
      <c r="B85" s="49">
        <f>IF(L85=0,"",IF(L85&lt;&gt;L84,INDEX(Escaleta!$F$1:$F$504,L85),IF(L85&lt;&gt;L83,TEXT(INDEX(Escaleta!$C$1:$C$504,L85),"hh:mm")&amp;"–"&amp;TEXT(INDEX(Escaleta!$E$1:$E$504,L85),"hh:mm"),"")))</f>
        <v/>
      </c>
      <c r="C85" s="49">
        <f>IF(M85=0,"",IF(M85&lt;&gt;M84,INDEX(Escaleta!$F$1:$F$504,M85),IF(M85&lt;&gt;M83,TEXT(INDEX(Escaleta!$C$1:$C$504,M85),"hh:mm")&amp;"–"&amp;TEXT(INDEX(Escaleta!$E$1:$E$504,M85),"hh:mm"),"")))</f>
        <v/>
      </c>
      <c r="D85" s="49">
        <f>IF(N85=0,"",IF(N85&lt;&gt;N84,INDEX(Escaleta!$F$1:$F$504,N85),IF(N85&lt;&gt;N83,TEXT(INDEX(Escaleta!$C$1:$C$504,N85),"hh:mm")&amp;"–"&amp;TEXT(INDEX(Escaleta!$E$1:$E$504,N85),"hh:mm"),"")))</f>
        <v/>
      </c>
      <c r="E85" s="49">
        <f>IF(O85=0,"",IF(O85&lt;&gt;O84,INDEX(Escaleta!$F$1:$F$504,O85),IF(O85&lt;&gt;O83,TEXT(INDEX(Escaleta!$C$1:$C$504,O85),"hh:mm")&amp;"–"&amp;TEXT(INDEX(Escaleta!$E$1:$E$504,O85),"hh:mm"),"")))</f>
        <v/>
      </c>
      <c r="F85" s="49">
        <f>IF(P85=0,"",IF(P85&lt;&gt;P84,INDEX(Escaleta!$F$1:$F$504,P85),IF(P85&lt;&gt;P83,TEXT(INDEX(Escaleta!$C$1:$C$504,P85),"hh:mm")&amp;"–"&amp;TEXT(INDEX(Escaleta!$E$1:$E$504,P85),"hh:mm"),"")))</f>
        <v/>
      </c>
      <c r="G85" s="49">
        <f>IF(Q85=0,"",IF(Q85&lt;&gt;Q84,INDEX(Escaleta!$F$1:$F$504,Q85),IF(Q85&lt;&gt;Q83,TEXT(INDEX(Escaleta!$C$1:$C$504,Q85),"hh:mm")&amp;"–"&amp;TEXT(INDEX(Escaleta!$E$1:$E$504,Q85),"hh:mm"),"")))</f>
        <v/>
      </c>
      <c r="H85" s="49">
        <f>IF(R85=0,"",IF(R85&lt;&gt;R84,INDEX(Escaleta!$F$1:$F$504,R85),IF(R85&lt;&gt;R83,TEXT(INDEX(Escaleta!$C$1:$C$504,R85),"hh:mm")&amp;"–"&amp;TEXT(INDEX(Escaleta!$E$1:$E$504,R85),"hh:mm"),"")))</f>
        <v/>
      </c>
      <c r="I85" s="49">
        <f>IF(S85=0,"",IF(S85&lt;&gt;S84,INDEX(Escaleta!$F$1:$F$504,S85),IF(S85&lt;&gt;S83,TEXT(INDEX(Escaleta!$C$1:$C$504,S85),"hh:mm")&amp;"–"&amp;TEXT(INDEX(Escaleta!$E$1:$E$504,S85),"hh:mm"),"")))</f>
        <v/>
      </c>
      <c r="L85" s="50">
        <f>IF(OR($A85="",B$6=""),0,SUMPRODUCT(MAX((Escaleta!$A$5:$A$504=$B$4)*(Escaleta!$H$5:$H$504=B$6)*(Escaleta!$K$5:$K$504&lt;&gt;"Cancelada")*(Escaleta!$C$5:$C$504&lt;$A85+Configuración!$C$7/1440)*(Escaleta!$E$5:$E$504&gt;$A85)*ROW(Escaleta!$A$5:$A$504))))</f>
        <v/>
      </c>
      <c r="M85" s="50">
        <f>IF(OR($A85="",C$6=""),0,SUMPRODUCT(MAX((Escaleta!$A$5:$A$504=$B$4)*(Escaleta!$H$5:$H$504=C$6)*(Escaleta!$K$5:$K$504&lt;&gt;"Cancelada")*(Escaleta!$C$5:$C$504&lt;$A85+Configuración!$C$7/1440)*(Escaleta!$E$5:$E$504&gt;$A85)*ROW(Escaleta!$A$5:$A$504))))</f>
        <v/>
      </c>
      <c r="N85" s="50">
        <f>IF(OR($A85="",D$6=""),0,SUMPRODUCT(MAX((Escaleta!$A$5:$A$504=$B$4)*(Escaleta!$H$5:$H$504=D$6)*(Escaleta!$K$5:$K$504&lt;&gt;"Cancelada")*(Escaleta!$C$5:$C$504&lt;$A85+Configuración!$C$7/1440)*(Escaleta!$E$5:$E$504&gt;$A85)*ROW(Escaleta!$A$5:$A$504))))</f>
        <v/>
      </c>
      <c r="O85" s="50">
        <f>IF(OR($A85="",E$6=""),0,SUMPRODUCT(MAX((Escaleta!$A$5:$A$504=$B$4)*(Escaleta!$H$5:$H$504=E$6)*(Escaleta!$K$5:$K$504&lt;&gt;"Cancelada")*(Escaleta!$C$5:$C$504&lt;$A85+Configuración!$C$7/1440)*(Escaleta!$E$5:$E$504&gt;$A85)*ROW(Escaleta!$A$5:$A$504))))</f>
        <v/>
      </c>
      <c r="P85" s="50">
        <f>IF(OR($A85="",F$6=""),0,SUMPRODUCT(MAX((Escaleta!$A$5:$A$504=$B$4)*(Escaleta!$H$5:$H$504=F$6)*(Escaleta!$K$5:$K$504&lt;&gt;"Cancelada")*(Escaleta!$C$5:$C$504&lt;$A85+Configuración!$C$7/1440)*(Escaleta!$E$5:$E$504&gt;$A85)*ROW(Escaleta!$A$5:$A$504))))</f>
        <v/>
      </c>
      <c r="Q85" s="50">
        <f>IF(OR($A85="",G$6=""),0,SUMPRODUCT(MAX((Escaleta!$A$5:$A$504=$B$4)*(Escaleta!$H$5:$H$504=G$6)*(Escaleta!$K$5:$K$504&lt;&gt;"Cancelada")*(Escaleta!$C$5:$C$504&lt;$A85+Configuración!$C$7/1440)*(Escaleta!$E$5:$E$504&gt;$A85)*ROW(Escaleta!$A$5:$A$504))))</f>
        <v/>
      </c>
      <c r="R85" s="50">
        <f>IF(OR($A85="",H$6=""),0,SUMPRODUCT(MAX((Escaleta!$A$5:$A$504=$B$4)*(Escaleta!$H$5:$H$504=H$6)*(Escaleta!$K$5:$K$504&lt;&gt;"Cancelada")*(Escaleta!$C$5:$C$504&lt;$A85+Configuración!$C$7/1440)*(Escaleta!$E$5:$E$504&gt;$A85)*ROW(Escaleta!$A$5:$A$504))))</f>
        <v/>
      </c>
      <c r="S85" s="50">
        <f>IF(OR($A85="",I$6=""),0,SUMPRODUCT(MAX((Escaleta!$A$5:$A$504=$B$4)*(Escaleta!$H$5:$H$504=I$6)*(Escaleta!$K$5:$K$504&lt;&gt;"Cancelada")*(Escaleta!$C$5:$C$504&lt;$A85+Configuración!$C$7/1440)*(Escaleta!$E$5:$E$504&gt;$A85)*ROW(Escaleta!$A$5:$A$504))))</f>
        <v/>
      </c>
      <c r="U85" s="50">
        <f>IF(L85=0,"",INDEX(Escaleta!$I$1:$I$504,L85))</f>
        <v/>
      </c>
      <c r="V85" s="50">
        <f>IF(M85=0,"",INDEX(Escaleta!$I$1:$I$504,M85))</f>
        <v/>
      </c>
      <c r="W85" s="50">
        <f>IF(N85=0,"",INDEX(Escaleta!$I$1:$I$504,N85))</f>
        <v/>
      </c>
      <c r="X85" s="50">
        <f>IF(O85=0,"",INDEX(Escaleta!$I$1:$I$504,O85))</f>
        <v/>
      </c>
      <c r="Y85" s="50">
        <f>IF(P85=0,"",INDEX(Escaleta!$I$1:$I$504,P85))</f>
        <v/>
      </c>
      <c r="Z85" s="50">
        <f>IF(Q85=0,"",INDEX(Escaleta!$I$1:$I$504,Q85))</f>
        <v/>
      </c>
      <c r="AA85" s="50">
        <f>IF(R85=0,"",INDEX(Escaleta!$I$1:$I$504,R85))</f>
        <v/>
      </c>
      <c r="AB85" s="50">
        <f>IF(S85=0,"",INDEX(Escaleta!$I$1:$I$504,S85))</f>
        <v/>
      </c>
    </row>
    <row r="86" ht="18" customHeight="1">
      <c r="A86" s="48">
        <f>IF(A85="","",IF(A85+Configuración!$C$7/1440&gt;Configuración!$C$6-0.0001,"",A85+Configuración!$C$7/1440))</f>
        <v/>
      </c>
      <c r="B86" s="49">
        <f>IF(L86=0,"",IF(L86&lt;&gt;L85,INDEX(Escaleta!$F$1:$F$504,L86),IF(L86&lt;&gt;L84,TEXT(INDEX(Escaleta!$C$1:$C$504,L86),"hh:mm")&amp;"–"&amp;TEXT(INDEX(Escaleta!$E$1:$E$504,L86),"hh:mm"),"")))</f>
        <v/>
      </c>
      <c r="C86" s="49">
        <f>IF(M86=0,"",IF(M86&lt;&gt;M85,INDEX(Escaleta!$F$1:$F$504,M86),IF(M86&lt;&gt;M84,TEXT(INDEX(Escaleta!$C$1:$C$504,M86),"hh:mm")&amp;"–"&amp;TEXT(INDEX(Escaleta!$E$1:$E$504,M86),"hh:mm"),"")))</f>
        <v/>
      </c>
      <c r="D86" s="49">
        <f>IF(N86=0,"",IF(N86&lt;&gt;N85,INDEX(Escaleta!$F$1:$F$504,N86),IF(N86&lt;&gt;N84,TEXT(INDEX(Escaleta!$C$1:$C$504,N86),"hh:mm")&amp;"–"&amp;TEXT(INDEX(Escaleta!$E$1:$E$504,N86),"hh:mm"),"")))</f>
        <v/>
      </c>
      <c r="E86" s="49">
        <f>IF(O86=0,"",IF(O86&lt;&gt;O85,INDEX(Escaleta!$F$1:$F$504,O86),IF(O86&lt;&gt;O84,TEXT(INDEX(Escaleta!$C$1:$C$504,O86),"hh:mm")&amp;"–"&amp;TEXT(INDEX(Escaleta!$E$1:$E$504,O86),"hh:mm"),"")))</f>
        <v/>
      </c>
      <c r="F86" s="49">
        <f>IF(P86=0,"",IF(P86&lt;&gt;P85,INDEX(Escaleta!$F$1:$F$504,P86),IF(P86&lt;&gt;P84,TEXT(INDEX(Escaleta!$C$1:$C$504,P86),"hh:mm")&amp;"–"&amp;TEXT(INDEX(Escaleta!$E$1:$E$504,P86),"hh:mm"),"")))</f>
        <v/>
      </c>
      <c r="G86" s="49">
        <f>IF(Q86=0,"",IF(Q86&lt;&gt;Q85,INDEX(Escaleta!$F$1:$F$504,Q86),IF(Q86&lt;&gt;Q84,TEXT(INDEX(Escaleta!$C$1:$C$504,Q86),"hh:mm")&amp;"–"&amp;TEXT(INDEX(Escaleta!$E$1:$E$504,Q86),"hh:mm"),"")))</f>
        <v/>
      </c>
      <c r="H86" s="49">
        <f>IF(R86=0,"",IF(R86&lt;&gt;R85,INDEX(Escaleta!$F$1:$F$504,R86),IF(R86&lt;&gt;R84,TEXT(INDEX(Escaleta!$C$1:$C$504,R86),"hh:mm")&amp;"–"&amp;TEXT(INDEX(Escaleta!$E$1:$E$504,R86),"hh:mm"),"")))</f>
        <v/>
      </c>
      <c r="I86" s="49">
        <f>IF(S86=0,"",IF(S86&lt;&gt;S85,INDEX(Escaleta!$F$1:$F$504,S86),IF(S86&lt;&gt;S84,TEXT(INDEX(Escaleta!$C$1:$C$504,S86),"hh:mm")&amp;"–"&amp;TEXT(INDEX(Escaleta!$E$1:$E$504,S86),"hh:mm"),"")))</f>
        <v/>
      </c>
      <c r="L86" s="50">
        <f>IF(OR($A86="",B$6=""),0,SUMPRODUCT(MAX((Escaleta!$A$5:$A$504=$B$4)*(Escaleta!$H$5:$H$504=B$6)*(Escaleta!$K$5:$K$504&lt;&gt;"Cancelada")*(Escaleta!$C$5:$C$504&lt;$A86+Configuración!$C$7/1440)*(Escaleta!$E$5:$E$504&gt;$A86)*ROW(Escaleta!$A$5:$A$504))))</f>
        <v/>
      </c>
      <c r="M86" s="50">
        <f>IF(OR($A86="",C$6=""),0,SUMPRODUCT(MAX((Escaleta!$A$5:$A$504=$B$4)*(Escaleta!$H$5:$H$504=C$6)*(Escaleta!$K$5:$K$504&lt;&gt;"Cancelada")*(Escaleta!$C$5:$C$504&lt;$A86+Configuración!$C$7/1440)*(Escaleta!$E$5:$E$504&gt;$A86)*ROW(Escaleta!$A$5:$A$504))))</f>
        <v/>
      </c>
      <c r="N86" s="50">
        <f>IF(OR($A86="",D$6=""),0,SUMPRODUCT(MAX((Escaleta!$A$5:$A$504=$B$4)*(Escaleta!$H$5:$H$504=D$6)*(Escaleta!$K$5:$K$504&lt;&gt;"Cancelada")*(Escaleta!$C$5:$C$504&lt;$A86+Configuración!$C$7/1440)*(Escaleta!$E$5:$E$504&gt;$A86)*ROW(Escaleta!$A$5:$A$504))))</f>
        <v/>
      </c>
      <c r="O86" s="50">
        <f>IF(OR($A86="",E$6=""),0,SUMPRODUCT(MAX((Escaleta!$A$5:$A$504=$B$4)*(Escaleta!$H$5:$H$504=E$6)*(Escaleta!$K$5:$K$504&lt;&gt;"Cancelada")*(Escaleta!$C$5:$C$504&lt;$A86+Configuración!$C$7/1440)*(Escaleta!$E$5:$E$504&gt;$A86)*ROW(Escaleta!$A$5:$A$504))))</f>
        <v/>
      </c>
      <c r="P86" s="50">
        <f>IF(OR($A86="",F$6=""),0,SUMPRODUCT(MAX((Escaleta!$A$5:$A$504=$B$4)*(Escaleta!$H$5:$H$504=F$6)*(Escaleta!$K$5:$K$504&lt;&gt;"Cancelada")*(Escaleta!$C$5:$C$504&lt;$A86+Configuración!$C$7/1440)*(Escaleta!$E$5:$E$504&gt;$A86)*ROW(Escaleta!$A$5:$A$504))))</f>
        <v/>
      </c>
      <c r="Q86" s="50">
        <f>IF(OR($A86="",G$6=""),0,SUMPRODUCT(MAX((Escaleta!$A$5:$A$504=$B$4)*(Escaleta!$H$5:$H$504=G$6)*(Escaleta!$K$5:$K$504&lt;&gt;"Cancelada")*(Escaleta!$C$5:$C$504&lt;$A86+Configuración!$C$7/1440)*(Escaleta!$E$5:$E$504&gt;$A86)*ROW(Escaleta!$A$5:$A$504))))</f>
        <v/>
      </c>
      <c r="R86" s="50">
        <f>IF(OR($A86="",H$6=""),0,SUMPRODUCT(MAX((Escaleta!$A$5:$A$504=$B$4)*(Escaleta!$H$5:$H$504=H$6)*(Escaleta!$K$5:$K$504&lt;&gt;"Cancelada")*(Escaleta!$C$5:$C$504&lt;$A86+Configuración!$C$7/1440)*(Escaleta!$E$5:$E$504&gt;$A86)*ROW(Escaleta!$A$5:$A$504))))</f>
        <v/>
      </c>
      <c r="S86" s="50">
        <f>IF(OR($A86="",I$6=""),0,SUMPRODUCT(MAX((Escaleta!$A$5:$A$504=$B$4)*(Escaleta!$H$5:$H$504=I$6)*(Escaleta!$K$5:$K$504&lt;&gt;"Cancelada")*(Escaleta!$C$5:$C$504&lt;$A86+Configuración!$C$7/1440)*(Escaleta!$E$5:$E$504&gt;$A86)*ROW(Escaleta!$A$5:$A$504))))</f>
        <v/>
      </c>
      <c r="U86" s="50">
        <f>IF(L86=0,"",INDEX(Escaleta!$I$1:$I$504,L86))</f>
        <v/>
      </c>
      <c r="V86" s="50">
        <f>IF(M86=0,"",INDEX(Escaleta!$I$1:$I$504,M86))</f>
        <v/>
      </c>
      <c r="W86" s="50">
        <f>IF(N86=0,"",INDEX(Escaleta!$I$1:$I$504,N86))</f>
        <v/>
      </c>
      <c r="X86" s="50">
        <f>IF(O86=0,"",INDEX(Escaleta!$I$1:$I$504,O86))</f>
        <v/>
      </c>
      <c r="Y86" s="50">
        <f>IF(P86=0,"",INDEX(Escaleta!$I$1:$I$504,P86))</f>
        <v/>
      </c>
      <c r="Z86" s="50">
        <f>IF(Q86=0,"",INDEX(Escaleta!$I$1:$I$504,Q86))</f>
        <v/>
      </c>
      <c r="AA86" s="50">
        <f>IF(R86=0,"",INDEX(Escaleta!$I$1:$I$504,R86))</f>
        <v/>
      </c>
      <c r="AB86" s="50">
        <f>IF(S86=0,"",INDEX(Escaleta!$I$1:$I$504,S86))</f>
        <v/>
      </c>
    </row>
    <row r="87" ht="18" customHeight="1">
      <c r="A87" s="48">
        <f>IF(A86="","",IF(A86+Configuración!$C$7/1440&gt;Configuración!$C$6-0.0001,"",A86+Configuración!$C$7/1440))</f>
        <v/>
      </c>
      <c r="B87" s="49">
        <f>IF(L87=0,"",IF(L87&lt;&gt;L86,INDEX(Escaleta!$F$1:$F$504,L87),IF(L87&lt;&gt;L85,TEXT(INDEX(Escaleta!$C$1:$C$504,L87),"hh:mm")&amp;"–"&amp;TEXT(INDEX(Escaleta!$E$1:$E$504,L87),"hh:mm"),"")))</f>
        <v/>
      </c>
      <c r="C87" s="49">
        <f>IF(M87=0,"",IF(M87&lt;&gt;M86,INDEX(Escaleta!$F$1:$F$504,M87),IF(M87&lt;&gt;M85,TEXT(INDEX(Escaleta!$C$1:$C$504,M87),"hh:mm")&amp;"–"&amp;TEXT(INDEX(Escaleta!$E$1:$E$504,M87),"hh:mm"),"")))</f>
        <v/>
      </c>
      <c r="D87" s="49">
        <f>IF(N87=0,"",IF(N87&lt;&gt;N86,INDEX(Escaleta!$F$1:$F$504,N87),IF(N87&lt;&gt;N85,TEXT(INDEX(Escaleta!$C$1:$C$504,N87),"hh:mm")&amp;"–"&amp;TEXT(INDEX(Escaleta!$E$1:$E$504,N87),"hh:mm"),"")))</f>
        <v/>
      </c>
      <c r="E87" s="49">
        <f>IF(O87=0,"",IF(O87&lt;&gt;O86,INDEX(Escaleta!$F$1:$F$504,O87),IF(O87&lt;&gt;O85,TEXT(INDEX(Escaleta!$C$1:$C$504,O87),"hh:mm")&amp;"–"&amp;TEXT(INDEX(Escaleta!$E$1:$E$504,O87),"hh:mm"),"")))</f>
        <v/>
      </c>
      <c r="F87" s="49">
        <f>IF(P87=0,"",IF(P87&lt;&gt;P86,INDEX(Escaleta!$F$1:$F$504,P87),IF(P87&lt;&gt;P85,TEXT(INDEX(Escaleta!$C$1:$C$504,P87),"hh:mm")&amp;"–"&amp;TEXT(INDEX(Escaleta!$E$1:$E$504,P87),"hh:mm"),"")))</f>
        <v/>
      </c>
      <c r="G87" s="49">
        <f>IF(Q87=0,"",IF(Q87&lt;&gt;Q86,INDEX(Escaleta!$F$1:$F$504,Q87),IF(Q87&lt;&gt;Q85,TEXT(INDEX(Escaleta!$C$1:$C$504,Q87),"hh:mm")&amp;"–"&amp;TEXT(INDEX(Escaleta!$E$1:$E$504,Q87),"hh:mm"),"")))</f>
        <v/>
      </c>
      <c r="H87" s="49">
        <f>IF(R87=0,"",IF(R87&lt;&gt;R86,INDEX(Escaleta!$F$1:$F$504,R87),IF(R87&lt;&gt;R85,TEXT(INDEX(Escaleta!$C$1:$C$504,R87),"hh:mm")&amp;"–"&amp;TEXT(INDEX(Escaleta!$E$1:$E$504,R87),"hh:mm"),"")))</f>
        <v/>
      </c>
      <c r="I87" s="49">
        <f>IF(S87=0,"",IF(S87&lt;&gt;S86,INDEX(Escaleta!$F$1:$F$504,S87),IF(S87&lt;&gt;S85,TEXT(INDEX(Escaleta!$C$1:$C$504,S87),"hh:mm")&amp;"–"&amp;TEXT(INDEX(Escaleta!$E$1:$E$504,S87),"hh:mm"),"")))</f>
        <v/>
      </c>
      <c r="L87" s="50">
        <f>IF(OR($A87="",B$6=""),0,SUMPRODUCT(MAX((Escaleta!$A$5:$A$504=$B$4)*(Escaleta!$H$5:$H$504=B$6)*(Escaleta!$K$5:$K$504&lt;&gt;"Cancelada")*(Escaleta!$C$5:$C$504&lt;$A87+Configuración!$C$7/1440)*(Escaleta!$E$5:$E$504&gt;$A87)*ROW(Escaleta!$A$5:$A$504))))</f>
        <v/>
      </c>
      <c r="M87" s="50">
        <f>IF(OR($A87="",C$6=""),0,SUMPRODUCT(MAX((Escaleta!$A$5:$A$504=$B$4)*(Escaleta!$H$5:$H$504=C$6)*(Escaleta!$K$5:$K$504&lt;&gt;"Cancelada")*(Escaleta!$C$5:$C$504&lt;$A87+Configuración!$C$7/1440)*(Escaleta!$E$5:$E$504&gt;$A87)*ROW(Escaleta!$A$5:$A$504))))</f>
        <v/>
      </c>
      <c r="N87" s="50">
        <f>IF(OR($A87="",D$6=""),0,SUMPRODUCT(MAX((Escaleta!$A$5:$A$504=$B$4)*(Escaleta!$H$5:$H$504=D$6)*(Escaleta!$K$5:$K$504&lt;&gt;"Cancelada")*(Escaleta!$C$5:$C$504&lt;$A87+Configuración!$C$7/1440)*(Escaleta!$E$5:$E$504&gt;$A87)*ROW(Escaleta!$A$5:$A$504))))</f>
        <v/>
      </c>
      <c r="O87" s="50">
        <f>IF(OR($A87="",E$6=""),0,SUMPRODUCT(MAX((Escaleta!$A$5:$A$504=$B$4)*(Escaleta!$H$5:$H$504=E$6)*(Escaleta!$K$5:$K$504&lt;&gt;"Cancelada")*(Escaleta!$C$5:$C$504&lt;$A87+Configuración!$C$7/1440)*(Escaleta!$E$5:$E$504&gt;$A87)*ROW(Escaleta!$A$5:$A$504))))</f>
        <v/>
      </c>
      <c r="P87" s="50">
        <f>IF(OR($A87="",F$6=""),0,SUMPRODUCT(MAX((Escaleta!$A$5:$A$504=$B$4)*(Escaleta!$H$5:$H$504=F$6)*(Escaleta!$K$5:$K$504&lt;&gt;"Cancelada")*(Escaleta!$C$5:$C$504&lt;$A87+Configuración!$C$7/1440)*(Escaleta!$E$5:$E$504&gt;$A87)*ROW(Escaleta!$A$5:$A$504))))</f>
        <v/>
      </c>
      <c r="Q87" s="50">
        <f>IF(OR($A87="",G$6=""),0,SUMPRODUCT(MAX((Escaleta!$A$5:$A$504=$B$4)*(Escaleta!$H$5:$H$504=G$6)*(Escaleta!$K$5:$K$504&lt;&gt;"Cancelada")*(Escaleta!$C$5:$C$504&lt;$A87+Configuración!$C$7/1440)*(Escaleta!$E$5:$E$504&gt;$A87)*ROW(Escaleta!$A$5:$A$504))))</f>
        <v/>
      </c>
      <c r="R87" s="50">
        <f>IF(OR($A87="",H$6=""),0,SUMPRODUCT(MAX((Escaleta!$A$5:$A$504=$B$4)*(Escaleta!$H$5:$H$504=H$6)*(Escaleta!$K$5:$K$504&lt;&gt;"Cancelada")*(Escaleta!$C$5:$C$504&lt;$A87+Configuración!$C$7/1440)*(Escaleta!$E$5:$E$504&gt;$A87)*ROW(Escaleta!$A$5:$A$504))))</f>
        <v/>
      </c>
      <c r="S87" s="50">
        <f>IF(OR($A87="",I$6=""),0,SUMPRODUCT(MAX((Escaleta!$A$5:$A$504=$B$4)*(Escaleta!$H$5:$H$504=I$6)*(Escaleta!$K$5:$K$504&lt;&gt;"Cancelada")*(Escaleta!$C$5:$C$504&lt;$A87+Configuración!$C$7/1440)*(Escaleta!$E$5:$E$504&gt;$A87)*ROW(Escaleta!$A$5:$A$504))))</f>
        <v/>
      </c>
      <c r="U87" s="50">
        <f>IF(L87=0,"",INDEX(Escaleta!$I$1:$I$504,L87))</f>
        <v/>
      </c>
      <c r="V87" s="50">
        <f>IF(M87=0,"",INDEX(Escaleta!$I$1:$I$504,M87))</f>
        <v/>
      </c>
      <c r="W87" s="50">
        <f>IF(N87=0,"",INDEX(Escaleta!$I$1:$I$504,N87))</f>
        <v/>
      </c>
      <c r="X87" s="50">
        <f>IF(O87=0,"",INDEX(Escaleta!$I$1:$I$504,O87))</f>
        <v/>
      </c>
      <c r="Y87" s="50">
        <f>IF(P87=0,"",INDEX(Escaleta!$I$1:$I$504,P87))</f>
        <v/>
      </c>
      <c r="Z87" s="50">
        <f>IF(Q87=0,"",INDEX(Escaleta!$I$1:$I$504,Q87))</f>
        <v/>
      </c>
      <c r="AA87" s="50">
        <f>IF(R87=0,"",INDEX(Escaleta!$I$1:$I$504,R87))</f>
        <v/>
      </c>
      <c r="AB87" s="50">
        <f>IF(S87=0,"",INDEX(Escaleta!$I$1:$I$504,S87))</f>
        <v/>
      </c>
    </row>
    <row r="88" ht="18" customHeight="1">
      <c r="A88" s="48">
        <f>IF(A87="","",IF(A87+Configuración!$C$7/1440&gt;Configuración!$C$6-0.0001,"",A87+Configuración!$C$7/1440))</f>
        <v/>
      </c>
      <c r="B88" s="49">
        <f>IF(L88=0,"",IF(L88&lt;&gt;L87,INDEX(Escaleta!$F$1:$F$504,L88),IF(L88&lt;&gt;L86,TEXT(INDEX(Escaleta!$C$1:$C$504,L88),"hh:mm")&amp;"–"&amp;TEXT(INDEX(Escaleta!$E$1:$E$504,L88),"hh:mm"),"")))</f>
        <v/>
      </c>
      <c r="C88" s="49">
        <f>IF(M88=0,"",IF(M88&lt;&gt;M87,INDEX(Escaleta!$F$1:$F$504,M88),IF(M88&lt;&gt;M86,TEXT(INDEX(Escaleta!$C$1:$C$504,M88),"hh:mm")&amp;"–"&amp;TEXT(INDEX(Escaleta!$E$1:$E$504,M88),"hh:mm"),"")))</f>
        <v/>
      </c>
      <c r="D88" s="49">
        <f>IF(N88=0,"",IF(N88&lt;&gt;N87,INDEX(Escaleta!$F$1:$F$504,N88),IF(N88&lt;&gt;N86,TEXT(INDEX(Escaleta!$C$1:$C$504,N88),"hh:mm")&amp;"–"&amp;TEXT(INDEX(Escaleta!$E$1:$E$504,N88),"hh:mm"),"")))</f>
        <v/>
      </c>
      <c r="E88" s="49">
        <f>IF(O88=0,"",IF(O88&lt;&gt;O87,INDEX(Escaleta!$F$1:$F$504,O88),IF(O88&lt;&gt;O86,TEXT(INDEX(Escaleta!$C$1:$C$504,O88),"hh:mm")&amp;"–"&amp;TEXT(INDEX(Escaleta!$E$1:$E$504,O88),"hh:mm"),"")))</f>
        <v/>
      </c>
      <c r="F88" s="49">
        <f>IF(P88=0,"",IF(P88&lt;&gt;P87,INDEX(Escaleta!$F$1:$F$504,P88),IF(P88&lt;&gt;P86,TEXT(INDEX(Escaleta!$C$1:$C$504,P88),"hh:mm")&amp;"–"&amp;TEXT(INDEX(Escaleta!$E$1:$E$504,P88),"hh:mm"),"")))</f>
        <v/>
      </c>
      <c r="G88" s="49">
        <f>IF(Q88=0,"",IF(Q88&lt;&gt;Q87,INDEX(Escaleta!$F$1:$F$504,Q88),IF(Q88&lt;&gt;Q86,TEXT(INDEX(Escaleta!$C$1:$C$504,Q88),"hh:mm")&amp;"–"&amp;TEXT(INDEX(Escaleta!$E$1:$E$504,Q88),"hh:mm"),"")))</f>
        <v/>
      </c>
      <c r="H88" s="49">
        <f>IF(R88=0,"",IF(R88&lt;&gt;R87,INDEX(Escaleta!$F$1:$F$504,R88),IF(R88&lt;&gt;R86,TEXT(INDEX(Escaleta!$C$1:$C$504,R88),"hh:mm")&amp;"–"&amp;TEXT(INDEX(Escaleta!$E$1:$E$504,R88),"hh:mm"),"")))</f>
        <v/>
      </c>
      <c r="I88" s="49">
        <f>IF(S88=0,"",IF(S88&lt;&gt;S87,INDEX(Escaleta!$F$1:$F$504,S88),IF(S88&lt;&gt;S86,TEXT(INDEX(Escaleta!$C$1:$C$504,S88),"hh:mm")&amp;"–"&amp;TEXT(INDEX(Escaleta!$E$1:$E$504,S88),"hh:mm"),"")))</f>
        <v/>
      </c>
      <c r="L88" s="50">
        <f>IF(OR($A88="",B$6=""),0,SUMPRODUCT(MAX((Escaleta!$A$5:$A$504=$B$4)*(Escaleta!$H$5:$H$504=B$6)*(Escaleta!$K$5:$K$504&lt;&gt;"Cancelada")*(Escaleta!$C$5:$C$504&lt;$A88+Configuración!$C$7/1440)*(Escaleta!$E$5:$E$504&gt;$A88)*ROW(Escaleta!$A$5:$A$504))))</f>
        <v/>
      </c>
      <c r="M88" s="50">
        <f>IF(OR($A88="",C$6=""),0,SUMPRODUCT(MAX((Escaleta!$A$5:$A$504=$B$4)*(Escaleta!$H$5:$H$504=C$6)*(Escaleta!$K$5:$K$504&lt;&gt;"Cancelada")*(Escaleta!$C$5:$C$504&lt;$A88+Configuración!$C$7/1440)*(Escaleta!$E$5:$E$504&gt;$A88)*ROW(Escaleta!$A$5:$A$504))))</f>
        <v/>
      </c>
      <c r="N88" s="50">
        <f>IF(OR($A88="",D$6=""),0,SUMPRODUCT(MAX((Escaleta!$A$5:$A$504=$B$4)*(Escaleta!$H$5:$H$504=D$6)*(Escaleta!$K$5:$K$504&lt;&gt;"Cancelada")*(Escaleta!$C$5:$C$504&lt;$A88+Configuración!$C$7/1440)*(Escaleta!$E$5:$E$504&gt;$A88)*ROW(Escaleta!$A$5:$A$504))))</f>
        <v/>
      </c>
      <c r="O88" s="50">
        <f>IF(OR($A88="",E$6=""),0,SUMPRODUCT(MAX((Escaleta!$A$5:$A$504=$B$4)*(Escaleta!$H$5:$H$504=E$6)*(Escaleta!$K$5:$K$504&lt;&gt;"Cancelada")*(Escaleta!$C$5:$C$504&lt;$A88+Configuración!$C$7/1440)*(Escaleta!$E$5:$E$504&gt;$A88)*ROW(Escaleta!$A$5:$A$504))))</f>
        <v/>
      </c>
      <c r="P88" s="50">
        <f>IF(OR($A88="",F$6=""),0,SUMPRODUCT(MAX((Escaleta!$A$5:$A$504=$B$4)*(Escaleta!$H$5:$H$504=F$6)*(Escaleta!$K$5:$K$504&lt;&gt;"Cancelada")*(Escaleta!$C$5:$C$504&lt;$A88+Configuración!$C$7/1440)*(Escaleta!$E$5:$E$504&gt;$A88)*ROW(Escaleta!$A$5:$A$504))))</f>
        <v/>
      </c>
      <c r="Q88" s="50">
        <f>IF(OR($A88="",G$6=""),0,SUMPRODUCT(MAX((Escaleta!$A$5:$A$504=$B$4)*(Escaleta!$H$5:$H$504=G$6)*(Escaleta!$K$5:$K$504&lt;&gt;"Cancelada")*(Escaleta!$C$5:$C$504&lt;$A88+Configuración!$C$7/1440)*(Escaleta!$E$5:$E$504&gt;$A88)*ROW(Escaleta!$A$5:$A$504))))</f>
        <v/>
      </c>
      <c r="R88" s="50">
        <f>IF(OR($A88="",H$6=""),0,SUMPRODUCT(MAX((Escaleta!$A$5:$A$504=$B$4)*(Escaleta!$H$5:$H$504=H$6)*(Escaleta!$K$5:$K$504&lt;&gt;"Cancelada")*(Escaleta!$C$5:$C$504&lt;$A88+Configuración!$C$7/1440)*(Escaleta!$E$5:$E$504&gt;$A88)*ROW(Escaleta!$A$5:$A$504))))</f>
        <v/>
      </c>
      <c r="S88" s="50">
        <f>IF(OR($A88="",I$6=""),0,SUMPRODUCT(MAX((Escaleta!$A$5:$A$504=$B$4)*(Escaleta!$H$5:$H$504=I$6)*(Escaleta!$K$5:$K$504&lt;&gt;"Cancelada")*(Escaleta!$C$5:$C$504&lt;$A88+Configuración!$C$7/1440)*(Escaleta!$E$5:$E$504&gt;$A88)*ROW(Escaleta!$A$5:$A$504))))</f>
        <v/>
      </c>
      <c r="U88" s="50">
        <f>IF(L88=0,"",INDEX(Escaleta!$I$1:$I$504,L88))</f>
        <v/>
      </c>
      <c r="V88" s="50">
        <f>IF(M88=0,"",INDEX(Escaleta!$I$1:$I$504,M88))</f>
        <v/>
      </c>
      <c r="W88" s="50">
        <f>IF(N88=0,"",INDEX(Escaleta!$I$1:$I$504,N88))</f>
        <v/>
      </c>
      <c r="X88" s="50">
        <f>IF(O88=0,"",INDEX(Escaleta!$I$1:$I$504,O88))</f>
        <v/>
      </c>
      <c r="Y88" s="50">
        <f>IF(P88=0,"",INDEX(Escaleta!$I$1:$I$504,P88))</f>
        <v/>
      </c>
      <c r="Z88" s="50">
        <f>IF(Q88=0,"",INDEX(Escaleta!$I$1:$I$504,Q88))</f>
        <v/>
      </c>
      <c r="AA88" s="50">
        <f>IF(R88=0,"",INDEX(Escaleta!$I$1:$I$504,R88))</f>
        <v/>
      </c>
      <c r="AB88" s="50">
        <f>IF(S88=0,"",INDEX(Escaleta!$I$1:$I$504,S88))</f>
        <v/>
      </c>
    </row>
    <row r="89" ht="18" customHeight="1">
      <c r="A89" s="48">
        <f>IF(A88="","",IF(A88+Configuración!$C$7/1440&gt;Configuración!$C$6-0.0001,"",A88+Configuración!$C$7/1440))</f>
        <v/>
      </c>
      <c r="B89" s="49">
        <f>IF(L89=0,"",IF(L89&lt;&gt;L88,INDEX(Escaleta!$F$1:$F$504,L89),IF(L89&lt;&gt;L87,TEXT(INDEX(Escaleta!$C$1:$C$504,L89),"hh:mm")&amp;"–"&amp;TEXT(INDEX(Escaleta!$E$1:$E$504,L89),"hh:mm"),"")))</f>
        <v/>
      </c>
      <c r="C89" s="49">
        <f>IF(M89=0,"",IF(M89&lt;&gt;M88,INDEX(Escaleta!$F$1:$F$504,M89),IF(M89&lt;&gt;M87,TEXT(INDEX(Escaleta!$C$1:$C$504,M89),"hh:mm")&amp;"–"&amp;TEXT(INDEX(Escaleta!$E$1:$E$504,M89),"hh:mm"),"")))</f>
        <v/>
      </c>
      <c r="D89" s="49">
        <f>IF(N89=0,"",IF(N89&lt;&gt;N88,INDEX(Escaleta!$F$1:$F$504,N89),IF(N89&lt;&gt;N87,TEXT(INDEX(Escaleta!$C$1:$C$504,N89),"hh:mm")&amp;"–"&amp;TEXT(INDEX(Escaleta!$E$1:$E$504,N89),"hh:mm"),"")))</f>
        <v/>
      </c>
      <c r="E89" s="49">
        <f>IF(O89=0,"",IF(O89&lt;&gt;O88,INDEX(Escaleta!$F$1:$F$504,O89),IF(O89&lt;&gt;O87,TEXT(INDEX(Escaleta!$C$1:$C$504,O89),"hh:mm")&amp;"–"&amp;TEXT(INDEX(Escaleta!$E$1:$E$504,O89),"hh:mm"),"")))</f>
        <v/>
      </c>
      <c r="F89" s="49">
        <f>IF(P89=0,"",IF(P89&lt;&gt;P88,INDEX(Escaleta!$F$1:$F$504,P89),IF(P89&lt;&gt;P87,TEXT(INDEX(Escaleta!$C$1:$C$504,P89),"hh:mm")&amp;"–"&amp;TEXT(INDEX(Escaleta!$E$1:$E$504,P89),"hh:mm"),"")))</f>
        <v/>
      </c>
      <c r="G89" s="49">
        <f>IF(Q89=0,"",IF(Q89&lt;&gt;Q88,INDEX(Escaleta!$F$1:$F$504,Q89),IF(Q89&lt;&gt;Q87,TEXT(INDEX(Escaleta!$C$1:$C$504,Q89),"hh:mm")&amp;"–"&amp;TEXT(INDEX(Escaleta!$E$1:$E$504,Q89),"hh:mm"),"")))</f>
        <v/>
      </c>
      <c r="H89" s="49">
        <f>IF(R89=0,"",IF(R89&lt;&gt;R88,INDEX(Escaleta!$F$1:$F$504,R89),IF(R89&lt;&gt;R87,TEXT(INDEX(Escaleta!$C$1:$C$504,R89),"hh:mm")&amp;"–"&amp;TEXT(INDEX(Escaleta!$E$1:$E$504,R89),"hh:mm"),"")))</f>
        <v/>
      </c>
      <c r="I89" s="49">
        <f>IF(S89=0,"",IF(S89&lt;&gt;S88,INDEX(Escaleta!$F$1:$F$504,S89),IF(S89&lt;&gt;S87,TEXT(INDEX(Escaleta!$C$1:$C$504,S89),"hh:mm")&amp;"–"&amp;TEXT(INDEX(Escaleta!$E$1:$E$504,S89),"hh:mm"),"")))</f>
        <v/>
      </c>
      <c r="L89" s="50">
        <f>IF(OR($A89="",B$6=""),0,SUMPRODUCT(MAX((Escaleta!$A$5:$A$504=$B$4)*(Escaleta!$H$5:$H$504=B$6)*(Escaleta!$K$5:$K$504&lt;&gt;"Cancelada")*(Escaleta!$C$5:$C$504&lt;$A89+Configuración!$C$7/1440)*(Escaleta!$E$5:$E$504&gt;$A89)*ROW(Escaleta!$A$5:$A$504))))</f>
        <v/>
      </c>
      <c r="M89" s="50">
        <f>IF(OR($A89="",C$6=""),0,SUMPRODUCT(MAX((Escaleta!$A$5:$A$504=$B$4)*(Escaleta!$H$5:$H$504=C$6)*(Escaleta!$K$5:$K$504&lt;&gt;"Cancelada")*(Escaleta!$C$5:$C$504&lt;$A89+Configuración!$C$7/1440)*(Escaleta!$E$5:$E$504&gt;$A89)*ROW(Escaleta!$A$5:$A$504))))</f>
        <v/>
      </c>
      <c r="N89" s="50">
        <f>IF(OR($A89="",D$6=""),0,SUMPRODUCT(MAX((Escaleta!$A$5:$A$504=$B$4)*(Escaleta!$H$5:$H$504=D$6)*(Escaleta!$K$5:$K$504&lt;&gt;"Cancelada")*(Escaleta!$C$5:$C$504&lt;$A89+Configuración!$C$7/1440)*(Escaleta!$E$5:$E$504&gt;$A89)*ROW(Escaleta!$A$5:$A$504))))</f>
        <v/>
      </c>
      <c r="O89" s="50">
        <f>IF(OR($A89="",E$6=""),0,SUMPRODUCT(MAX((Escaleta!$A$5:$A$504=$B$4)*(Escaleta!$H$5:$H$504=E$6)*(Escaleta!$K$5:$K$504&lt;&gt;"Cancelada")*(Escaleta!$C$5:$C$504&lt;$A89+Configuración!$C$7/1440)*(Escaleta!$E$5:$E$504&gt;$A89)*ROW(Escaleta!$A$5:$A$504))))</f>
        <v/>
      </c>
      <c r="P89" s="50">
        <f>IF(OR($A89="",F$6=""),0,SUMPRODUCT(MAX((Escaleta!$A$5:$A$504=$B$4)*(Escaleta!$H$5:$H$504=F$6)*(Escaleta!$K$5:$K$504&lt;&gt;"Cancelada")*(Escaleta!$C$5:$C$504&lt;$A89+Configuración!$C$7/1440)*(Escaleta!$E$5:$E$504&gt;$A89)*ROW(Escaleta!$A$5:$A$504))))</f>
        <v/>
      </c>
      <c r="Q89" s="50">
        <f>IF(OR($A89="",G$6=""),0,SUMPRODUCT(MAX((Escaleta!$A$5:$A$504=$B$4)*(Escaleta!$H$5:$H$504=G$6)*(Escaleta!$K$5:$K$504&lt;&gt;"Cancelada")*(Escaleta!$C$5:$C$504&lt;$A89+Configuración!$C$7/1440)*(Escaleta!$E$5:$E$504&gt;$A89)*ROW(Escaleta!$A$5:$A$504))))</f>
        <v/>
      </c>
      <c r="R89" s="50">
        <f>IF(OR($A89="",H$6=""),0,SUMPRODUCT(MAX((Escaleta!$A$5:$A$504=$B$4)*(Escaleta!$H$5:$H$504=H$6)*(Escaleta!$K$5:$K$504&lt;&gt;"Cancelada")*(Escaleta!$C$5:$C$504&lt;$A89+Configuración!$C$7/1440)*(Escaleta!$E$5:$E$504&gt;$A89)*ROW(Escaleta!$A$5:$A$504))))</f>
        <v/>
      </c>
      <c r="S89" s="50">
        <f>IF(OR($A89="",I$6=""),0,SUMPRODUCT(MAX((Escaleta!$A$5:$A$504=$B$4)*(Escaleta!$H$5:$H$504=I$6)*(Escaleta!$K$5:$K$504&lt;&gt;"Cancelada")*(Escaleta!$C$5:$C$504&lt;$A89+Configuración!$C$7/1440)*(Escaleta!$E$5:$E$504&gt;$A89)*ROW(Escaleta!$A$5:$A$504))))</f>
        <v/>
      </c>
      <c r="U89" s="50">
        <f>IF(L89=0,"",INDEX(Escaleta!$I$1:$I$504,L89))</f>
        <v/>
      </c>
      <c r="V89" s="50">
        <f>IF(M89=0,"",INDEX(Escaleta!$I$1:$I$504,M89))</f>
        <v/>
      </c>
      <c r="W89" s="50">
        <f>IF(N89=0,"",INDEX(Escaleta!$I$1:$I$504,N89))</f>
        <v/>
      </c>
      <c r="X89" s="50">
        <f>IF(O89=0,"",INDEX(Escaleta!$I$1:$I$504,O89))</f>
        <v/>
      </c>
      <c r="Y89" s="50">
        <f>IF(P89=0,"",INDEX(Escaleta!$I$1:$I$504,P89))</f>
        <v/>
      </c>
      <c r="Z89" s="50">
        <f>IF(Q89=0,"",INDEX(Escaleta!$I$1:$I$504,Q89))</f>
        <v/>
      </c>
      <c r="AA89" s="50">
        <f>IF(R89=0,"",INDEX(Escaleta!$I$1:$I$504,R89))</f>
        <v/>
      </c>
      <c r="AB89" s="50">
        <f>IF(S89=0,"",INDEX(Escaleta!$I$1:$I$504,S89))</f>
        <v/>
      </c>
    </row>
    <row r="90" ht="18" customHeight="1">
      <c r="A90" s="48">
        <f>IF(A89="","",IF(A89+Configuración!$C$7/1440&gt;Configuración!$C$6-0.0001,"",A89+Configuración!$C$7/1440))</f>
        <v/>
      </c>
      <c r="B90" s="49">
        <f>IF(L90=0,"",IF(L90&lt;&gt;L89,INDEX(Escaleta!$F$1:$F$504,L90),IF(L90&lt;&gt;L88,TEXT(INDEX(Escaleta!$C$1:$C$504,L90),"hh:mm")&amp;"–"&amp;TEXT(INDEX(Escaleta!$E$1:$E$504,L90),"hh:mm"),"")))</f>
        <v/>
      </c>
      <c r="C90" s="49">
        <f>IF(M90=0,"",IF(M90&lt;&gt;M89,INDEX(Escaleta!$F$1:$F$504,M90),IF(M90&lt;&gt;M88,TEXT(INDEX(Escaleta!$C$1:$C$504,M90),"hh:mm")&amp;"–"&amp;TEXT(INDEX(Escaleta!$E$1:$E$504,M90),"hh:mm"),"")))</f>
        <v/>
      </c>
      <c r="D90" s="49">
        <f>IF(N90=0,"",IF(N90&lt;&gt;N89,INDEX(Escaleta!$F$1:$F$504,N90),IF(N90&lt;&gt;N88,TEXT(INDEX(Escaleta!$C$1:$C$504,N90),"hh:mm")&amp;"–"&amp;TEXT(INDEX(Escaleta!$E$1:$E$504,N90),"hh:mm"),"")))</f>
        <v/>
      </c>
      <c r="E90" s="49">
        <f>IF(O90=0,"",IF(O90&lt;&gt;O89,INDEX(Escaleta!$F$1:$F$504,O90),IF(O90&lt;&gt;O88,TEXT(INDEX(Escaleta!$C$1:$C$504,O90),"hh:mm")&amp;"–"&amp;TEXT(INDEX(Escaleta!$E$1:$E$504,O90),"hh:mm"),"")))</f>
        <v/>
      </c>
      <c r="F90" s="49">
        <f>IF(P90=0,"",IF(P90&lt;&gt;P89,INDEX(Escaleta!$F$1:$F$504,P90),IF(P90&lt;&gt;P88,TEXT(INDEX(Escaleta!$C$1:$C$504,P90),"hh:mm")&amp;"–"&amp;TEXT(INDEX(Escaleta!$E$1:$E$504,P90),"hh:mm"),"")))</f>
        <v/>
      </c>
      <c r="G90" s="49">
        <f>IF(Q90=0,"",IF(Q90&lt;&gt;Q89,INDEX(Escaleta!$F$1:$F$504,Q90),IF(Q90&lt;&gt;Q88,TEXT(INDEX(Escaleta!$C$1:$C$504,Q90),"hh:mm")&amp;"–"&amp;TEXT(INDEX(Escaleta!$E$1:$E$504,Q90),"hh:mm"),"")))</f>
        <v/>
      </c>
      <c r="H90" s="49">
        <f>IF(R90=0,"",IF(R90&lt;&gt;R89,INDEX(Escaleta!$F$1:$F$504,R90),IF(R90&lt;&gt;R88,TEXT(INDEX(Escaleta!$C$1:$C$504,R90),"hh:mm")&amp;"–"&amp;TEXT(INDEX(Escaleta!$E$1:$E$504,R90),"hh:mm"),"")))</f>
        <v/>
      </c>
      <c r="I90" s="49">
        <f>IF(S90=0,"",IF(S90&lt;&gt;S89,INDEX(Escaleta!$F$1:$F$504,S90),IF(S90&lt;&gt;S88,TEXT(INDEX(Escaleta!$C$1:$C$504,S90),"hh:mm")&amp;"–"&amp;TEXT(INDEX(Escaleta!$E$1:$E$504,S90),"hh:mm"),"")))</f>
        <v/>
      </c>
      <c r="L90" s="50">
        <f>IF(OR($A90="",B$6=""),0,SUMPRODUCT(MAX((Escaleta!$A$5:$A$504=$B$4)*(Escaleta!$H$5:$H$504=B$6)*(Escaleta!$K$5:$K$504&lt;&gt;"Cancelada")*(Escaleta!$C$5:$C$504&lt;$A90+Configuración!$C$7/1440)*(Escaleta!$E$5:$E$504&gt;$A90)*ROW(Escaleta!$A$5:$A$504))))</f>
        <v/>
      </c>
      <c r="M90" s="50">
        <f>IF(OR($A90="",C$6=""),0,SUMPRODUCT(MAX((Escaleta!$A$5:$A$504=$B$4)*(Escaleta!$H$5:$H$504=C$6)*(Escaleta!$K$5:$K$504&lt;&gt;"Cancelada")*(Escaleta!$C$5:$C$504&lt;$A90+Configuración!$C$7/1440)*(Escaleta!$E$5:$E$504&gt;$A90)*ROW(Escaleta!$A$5:$A$504))))</f>
        <v/>
      </c>
      <c r="N90" s="50">
        <f>IF(OR($A90="",D$6=""),0,SUMPRODUCT(MAX((Escaleta!$A$5:$A$504=$B$4)*(Escaleta!$H$5:$H$504=D$6)*(Escaleta!$K$5:$K$504&lt;&gt;"Cancelada")*(Escaleta!$C$5:$C$504&lt;$A90+Configuración!$C$7/1440)*(Escaleta!$E$5:$E$504&gt;$A90)*ROW(Escaleta!$A$5:$A$504))))</f>
        <v/>
      </c>
      <c r="O90" s="50">
        <f>IF(OR($A90="",E$6=""),0,SUMPRODUCT(MAX((Escaleta!$A$5:$A$504=$B$4)*(Escaleta!$H$5:$H$504=E$6)*(Escaleta!$K$5:$K$504&lt;&gt;"Cancelada")*(Escaleta!$C$5:$C$504&lt;$A90+Configuración!$C$7/1440)*(Escaleta!$E$5:$E$504&gt;$A90)*ROW(Escaleta!$A$5:$A$504))))</f>
        <v/>
      </c>
      <c r="P90" s="50">
        <f>IF(OR($A90="",F$6=""),0,SUMPRODUCT(MAX((Escaleta!$A$5:$A$504=$B$4)*(Escaleta!$H$5:$H$504=F$6)*(Escaleta!$K$5:$K$504&lt;&gt;"Cancelada")*(Escaleta!$C$5:$C$504&lt;$A90+Configuración!$C$7/1440)*(Escaleta!$E$5:$E$504&gt;$A90)*ROW(Escaleta!$A$5:$A$504))))</f>
        <v/>
      </c>
      <c r="Q90" s="50">
        <f>IF(OR($A90="",G$6=""),0,SUMPRODUCT(MAX((Escaleta!$A$5:$A$504=$B$4)*(Escaleta!$H$5:$H$504=G$6)*(Escaleta!$K$5:$K$504&lt;&gt;"Cancelada")*(Escaleta!$C$5:$C$504&lt;$A90+Configuración!$C$7/1440)*(Escaleta!$E$5:$E$504&gt;$A90)*ROW(Escaleta!$A$5:$A$504))))</f>
        <v/>
      </c>
      <c r="R90" s="50">
        <f>IF(OR($A90="",H$6=""),0,SUMPRODUCT(MAX((Escaleta!$A$5:$A$504=$B$4)*(Escaleta!$H$5:$H$504=H$6)*(Escaleta!$K$5:$K$504&lt;&gt;"Cancelada")*(Escaleta!$C$5:$C$504&lt;$A90+Configuración!$C$7/1440)*(Escaleta!$E$5:$E$504&gt;$A90)*ROW(Escaleta!$A$5:$A$504))))</f>
        <v/>
      </c>
      <c r="S90" s="50">
        <f>IF(OR($A90="",I$6=""),0,SUMPRODUCT(MAX((Escaleta!$A$5:$A$504=$B$4)*(Escaleta!$H$5:$H$504=I$6)*(Escaleta!$K$5:$K$504&lt;&gt;"Cancelada")*(Escaleta!$C$5:$C$504&lt;$A90+Configuración!$C$7/1440)*(Escaleta!$E$5:$E$504&gt;$A90)*ROW(Escaleta!$A$5:$A$504))))</f>
        <v/>
      </c>
      <c r="U90" s="50">
        <f>IF(L90=0,"",INDEX(Escaleta!$I$1:$I$504,L90))</f>
        <v/>
      </c>
      <c r="V90" s="50">
        <f>IF(M90=0,"",INDEX(Escaleta!$I$1:$I$504,M90))</f>
        <v/>
      </c>
      <c r="W90" s="50">
        <f>IF(N90=0,"",INDEX(Escaleta!$I$1:$I$504,N90))</f>
        <v/>
      </c>
      <c r="X90" s="50">
        <f>IF(O90=0,"",INDEX(Escaleta!$I$1:$I$504,O90))</f>
        <v/>
      </c>
      <c r="Y90" s="50">
        <f>IF(P90=0,"",INDEX(Escaleta!$I$1:$I$504,P90))</f>
        <v/>
      </c>
      <c r="Z90" s="50">
        <f>IF(Q90=0,"",INDEX(Escaleta!$I$1:$I$504,Q90))</f>
        <v/>
      </c>
      <c r="AA90" s="50">
        <f>IF(R90=0,"",INDEX(Escaleta!$I$1:$I$504,R90))</f>
        <v/>
      </c>
      <c r="AB90" s="50">
        <f>IF(S90=0,"",INDEX(Escaleta!$I$1:$I$504,S90))</f>
        <v/>
      </c>
    </row>
    <row r="91" ht="18" customHeight="1">
      <c r="A91" s="48">
        <f>IF(A90="","",IF(A90+Configuración!$C$7/1440&gt;Configuración!$C$6-0.0001,"",A90+Configuración!$C$7/1440))</f>
        <v/>
      </c>
      <c r="B91" s="49">
        <f>IF(L91=0,"",IF(L91&lt;&gt;L90,INDEX(Escaleta!$F$1:$F$504,L91),IF(L91&lt;&gt;L89,TEXT(INDEX(Escaleta!$C$1:$C$504,L91),"hh:mm")&amp;"–"&amp;TEXT(INDEX(Escaleta!$E$1:$E$504,L91),"hh:mm"),"")))</f>
        <v/>
      </c>
      <c r="C91" s="49">
        <f>IF(M91=0,"",IF(M91&lt;&gt;M90,INDEX(Escaleta!$F$1:$F$504,M91),IF(M91&lt;&gt;M89,TEXT(INDEX(Escaleta!$C$1:$C$504,M91),"hh:mm")&amp;"–"&amp;TEXT(INDEX(Escaleta!$E$1:$E$504,M91),"hh:mm"),"")))</f>
        <v/>
      </c>
      <c r="D91" s="49">
        <f>IF(N91=0,"",IF(N91&lt;&gt;N90,INDEX(Escaleta!$F$1:$F$504,N91),IF(N91&lt;&gt;N89,TEXT(INDEX(Escaleta!$C$1:$C$504,N91),"hh:mm")&amp;"–"&amp;TEXT(INDEX(Escaleta!$E$1:$E$504,N91),"hh:mm"),"")))</f>
        <v/>
      </c>
      <c r="E91" s="49">
        <f>IF(O91=0,"",IF(O91&lt;&gt;O90,INDEX(Escaleta!$F$1:$F$504,O91),IF(O91&lt;&gt;O89,TEXT(INDEX(Escaleta!$C$1:$C$504,O91),"hh:mm")&amp;"–"&amp;TEXT(INDEX(Escaleta!$E$1:$E$504,O91),"hh:mm"),"")))</f>
        <v/>
      </c>
      <c r="F91" s="49">
        <f>IF(P91=0,"",IF(P91&lt;&gt;P90,INDEX(Escaleta!$F$1:$F$504,P91),IF(P91&lt;&gt;P89,TEXT(INDEX(Escaleta!$C$1:$C$504,P91),"hh:mm")&amp;"–"&amp;TEXT(INDEX(Escaleta!$E$1:$E$504,P91),"hh:mm"),"")))</f>
        <v/>
      </c>
      <c r="G91" s="49">
        <f>IF(Q91=0,"",IF(Q91&lt;&gt;Q90,INDEX(Escaleta!$F$1:$F$504,Q91),IF(Q91&lt;&gt;Q89,TEXT(INDEX(Escaleta!$C$1:$C$504,Q91),"hh:mm")&amp;"–"&amp;TEXT(INDEX(Escaleta!$E$1:$E$504,Q91),"hh:mm"),"")))</f>
        <v/>
      </c>
      <c r="H91" s="49">
        <f>IF(R91=0,"",IF(R91&lt;&gt;R90,INDEX(Escaleta!$F$1:$F$504,R91),IF(R91&lt;&gt;R89,TEXT(INDEX(Escaleta!$C$1:$C$504,R91),"hh:mm")&amp;"–"&amp;TEXT(INDEX(Escaleta!$E$1:$E$504,R91),"hh:mm"),"")))</f>
        <v/>
      </c>
      <c r="I91" s="49">
        <f>IF(S91=0,"",IF(S91&lt;&gt;S90,INDEX(Escaleta!$F$1:$F$504,S91),IF(S91&lt;&gt;S89,TEXT(INDEX(Escaleta!$C$1:$C$504,S91),"hh:mm")&amp;"–"&amp;TEXT(INDEX(Escaleta!$E$1:$E$504,S91),"hh:mm"),"")))</f>
        <v/>
      </c>
      <c r="L91" s="50">
        <f>IF(OR($A91="",B$6=""),0,SUMPRODUCT(MAX((Escaleta!$A$5:$A$504=$B$4)*(Escaleta!$H$5:$H$504=B$6)*(Escaleta!$K$5:$K$504&lt;&gt;"Cancelada")*(Escaleta!$C$5:$C$504&lt;$A91+Configuración!$C$7/1440)*(Escaleta!$E$5:$E$504&gt;$A91)*ROW(Escaleta!$A$5:$A$504))))</f>
        <v/>
      </c>
      <c r="M91" s="50">
        <f>IF(OR($A91="",C$6=""),0,SUMPRODUCT(MAX((Escaleta!$A$5:$A$504=$B$4)*(Escaleta!$H$5:$H$504=C$6)*(Escaleta!$K$5:$K$504&lt;&gt;"Cancelada")*(Escaleta!$C$5:$C$504&lt;$A91+Configuración!$C$7/1440)*(Escaleta!$E$5:$E$504&gt;$A91)*ROW(Escaleta!$A$5:$A$504))))</f>
        <v/>
      </c>
      <c r="N91" s="50">
        <f>IF(OR($A91="",D$6=""),0,SUMPRODUCT(MAX((Escaleta!$A$5:$A$504=$B$4)*(Escaleta!$H$5:$H$504=D$6)*(Escaleta!$K$5:$K$504&lt;&gt;"Cancelada")*(Escaleta!$C$5:$C$504&lt;$A91+Configuración!$C$7/1440)*(Escaleta!$E$5:$E$504&gt;$A91)*ROW(Escaleta!$A$5:$A$504))))</f>
        <v/>
      </c>
      <c r="O91" s="50">
        <f>IF(OR($A91="",E$6=""),0,SUMPRODUCT(MAX((Escaleta!$A$5:$A$504=$B$4)*(Escaleta!$H$5:$H$504=E$6)*(Escaleta!$K$5:$K$504&lt;&gt;"Cancelada")*(Escaleta!$C$5:$C$504&lt;$A91+Configuración!$C$7/1440)*(Escaleta!$E$5:$E$504&gt;$A91)*ROW(Escaleta!$A$5:$A$504))))</f>
        <v/>
      </c>
      <c r="P91" s="50">
        <f>IF(OR($A91="",F$6=""),0,SUMPRODUCT(MAX((Escaleta!$A$5:$A$504=$B$4)*(Escaleta!$H$5:$H$504=F$6)*(Escaleta!$K$5:$K$504&lt;&gt;"Cancelada")*(Escaleta!$C$5:$C$504&lt;$A91+Configuración!$C$7/1440)*(Escaleta!$E$5:$E$504&gt;$A91)*ROW(Escaleta!$A$5:$A$504))))</f>
        <v/>
      </c>
      <c r="Q91" s="50">
        <f>IF(OR($A91="",G$6=""),0,SUMPRODUCT(MAX((Escaleta!$A$5:$A$504=$B$4)*(Escaleta!$H$5:$H$504=G$6)*(Escaleta!$K$5:$K$504&lt;&gt;"Cancelada")*(Escaleta!$C$5:$C$504&lt;$A91+Configuración!$C$7/1440)*(Escaleta!$E$5:$E$504&gt;$A91)*ROW(Escaleta!$A$5:$A$504))))</f>
        <v/>
      </c>
      <c r="R91" s="50">
        <f>IF(OR($A91="",H$6=""),0,SUMPRODUCT(MAX((Escaleta!$A$5:$A$504=$B$4)*(Escaleta!$H$5:$H$504=H$6)*(Escaleta!$K$5:$K$504&lt;&gt;"Cancelada")*(Escaleta!$C$5:$C$504&lt;$A91+Configuración!$C$7/1440)*(Escaleta!$E$5:$E$504&gt;$A91)*ROW(Escaleta!$A$5:$A$504))))</f>
        <v/>
      </c>
      <c r="S91" s="50">
        <f>IF(OR($A91="",I$6=""),0,SUMPRODUCT(MAX((Escaleta!$A$5:$A$504=$B$4)*(Escaleta!$H$5:$H$504=I$6)*(Escaleta!$K$5:$K$504&lt;&gt;"Cancelada")*(Escaleta!$C$5:$C$504&lt;$A91+Configuración!$C$7/1440)*(Escaleta!$E$5:$E$504&gt;$A91)*ROW(Escaleta!$A$5:$A$504))))</f>
        <v/>
      </c>
      <c r="U91" s="50">
        <f>IF(L91=0,"",INDEX(Escaleta!$I$1:$I$504,L91))</f>
        <v/>
      </c>
      <c r="V91" s="50">
        <f>IF(M91=0,"",INDEX(Escaleta!$I$1:$I$504,M91))</f>
        <v/>
      </c>
      <c r="W91" s="50">
        <f>IF(N91=0,"",INDEX(Escaleta!$I$1:$I$504,N91))</f>
        <v/>
      </c>
      <c r="X91" s="50">
        <f>IF(O91=0,"",INDEX(Escaleta!$I$1:$I$504,O91))</f>
        <v/>
      </c>
      <c r="Y91" s="50">
        <f>IF(P91=0,"",INDEX(Escaleta!$I$1:$I$504,P91))</f>
        <v/>
      </c>
      <c r="Z91" s="50">
        <f>IF(Q91=0,"",INDEX(Escaleta!$I$1:$I$504,Q91))</f>
        <v/>
      </c>
      <c r="AA91" s="50">
        <f>IF(R91=0,"",INDEX(Escaleta!$I$1:$I$504,R91))</f>
        <v/>
      </c>
      <c r="AB91" s="50">
        <f>IF(S91=0,"",INDEX(Escaleta!$I$1:$I$504,S91))</f>
        <v/>
      </c>
    </row>
    <row r="92" ht="18" customHeight="1">
      <c r="A92" s="48">
        <f>IF(A91="","",IF(A91+Configuración!$C$7/1440&gt;Configuración!$C$6-0.0001,"",A91+Configuración!$C$7/1440))</f>
        <v/>
      </c>
      <c r="B92" s="49">
        <f>IF(L92=0,"",IF(L92&lt;&gt;L91,INDEX(Escaleta!$F$1:$F$504,L92),IF(L92&lt;&gt;L90,TEXT(INDEX(Escaleta!$C$1:$C$504,L92),"hh:mm")&amp;"–"&amp;TEXT(INDEX(Escaleta!$E$1:$E$504,L92),"hh:mm"),"")))</f>
        <v/>
      </c>
      <c r="C92" s="49">
        <f>IF(M92=0,"",IF(M92&lt;&gt;M91,INDEX(Escaleta!$F$1:$F$504,M92),IF(M92&lt;&gt;M90,TEXT(INDEX(Escaleta!$C$1:$C$504,M92),"hh:mm")&amp;"–"&amp;TEXT(INDEX(Escaleta!$E$1:$E$504,M92),"hh:mm"),"")))</f>
        <v/>
      </c>
      <c r="D92" s="49">
        <f>IF(N92=0,"",IF(N92&lt;&gt;N91,INDEX(Escaleta!$F$1:$F$504,N92),IF(N92&lt;&gt;N90,TEXT(INDEX(Escaleta!$C$1:$C$504,N92),"hh:mm")&amp;"–"&amp;TEXT(INDEX(Escaleta!$E$1:$E$504,N92),"hh:mm"),"")))</f>
        <v/>
      </c>
      <c r="E92" s="49">
        <f>IF(O92=0,"",IF(O92&lt;&gt;O91,INDEX(Escaleta!$F$1:$F$504,O92),IF(O92&lt;&gt;O90,TEXT(INDEX(Escaleta!$C$1:$C$504,O92),"hh:mm")&amp;"–"&amp;TEXT(INDEX(Escaleta!$E$1:$E$504,O92),"hh:mm"),"")))</f>
        <v/>
      </c>
      <c r="F92" s="49">
        <f>IF(P92=0,"",IF(P92&lt;&gt;P91,INDEX(Escaleta!$F$1:$F$504,P92),IF(P92&lt;&gt;P90,TEXT(INDEX(Escaleta!$C$1:$C$504,P92),"hh:mm")&amp;"–"&amp;TEXT(INDEX(Escaleta!$E$1:$E$504,P92),"hh:mm"),"")))</f>
        <v/>
      </c>
      <c r="G92" s="49">
        <f>IF(Q92=0,"",IF(Q92&lt;&gt;Q91,INDEX(Escaleta!$F$1:$F$504,Q92),IF(Q92&lt;&gt;Q90,TEXT(INDEX(Escaleta!$C$1:$C$504,Q92),"hh:mm")&amp;"–"&amp;TEXT(INDEX(Escaleta!$E$1:$E$504,Q92),"hh:mm"),"")))</f>
        <v/>
      </c>
      <c r="H92" s="49">
        <f>IF(R92=0,"",IF(R92&lt;&gt;R91,INDEX(Escaleta!$F$1:$F$504,R92),IF(R92&lt;&gt;R90,TEXT(INDEX(Escaleta!$C$1:$C$504,R92),"hh:mm")&amp;"–"&amp;TEXT(INDEX(Escaleta!$E$1:$E$504,R92),"hh:mm"),"")))</f>
        <v/>
      </c>
      <c r="I92" s="49">
        <f>IF(S92=0,"",IF(S92&lt;&gt;S91,INDEX(Escaleta!$F$1:$F$504,S92),IF(S92&lt;&gt;S90,TEXT(INDEX(Escaleta!$C$1:$C$504,S92),"hh:mm")&amp;"–"&amp;TEXT(INDEX(Escaleta!$E$1:$E$504,S92),"hh:mm"),"")))</f>
        <v/>
      </c>
      <c r="L92" s="50">
        <f>IF(OR($A92="",B$6=""),0,SUMPRODUCT(MAX((Escaleta!$A$5:$A$504=$B$4)*(Escaleta!$H$5:$H$504=B$6)*(Escaleta!$K$5:$K$504&lt;&gt;"Cancelada")*(Escaleta!$C$5:$C$504&lt;$A92+Configuración!$C$7/1440)*(Escaleta!$E$5:$E$504&gt;$A92)*ROW(Escaleta!$A$5:$A$504))))</f>
        <v/>
      </c>
      <c r="M92" s="50">
        <f>IF(OR($A92="",C$6=""),0,SUMPRODUCT(MAX((Escaleta!$A$5:$A$504=$B$4)*(Escaleta!$H$5:$H$504=C$6)*(Escaleta!$K$5:$K$504&lt;&gt;"Cancelada")*(Escaleta!$C$5:$C$504&lt;$A92+Configuración!$C$7/1440)*(Escaleta!$E$5:$E$504&gt;$A92)*ROW(Escaleta!$A$5:$A$504))))</f>
        <v/>
      </c>
      <c r="N92" s="50">
        <f>IF(OR($A92="",D$6=""),0,SUMPRODUCT(MAX((Escaleta!$A$5:$A$504=$B$4)*(Escaleta!$H$5:$H$504=D$6)*(Escaleta!$K$5:$K$504&lt;&gt;"Cancelada")*(Escaleta!$C$5:$C$504&lt;$A92+Configuración!$C$7/1440)*(Escaleta!$E$5:$E$504&gt;$A92)*ROW(Escaleta!$A$5:$A$504))))</f>
        <v/>
      </c>
      <c r="O92" s="50">
        <f>IF(OR($A92="",E$6=""),0,SUMPRODUCT(MAX((Escaleta!$A$5:$A$504=$B$4)*(Escaleta!$H$5:$H$504=E$6)*(Escaleta!$K$5:$K$504&lt;&gt;"Cancelada")*(Escaleta!$C$5:$C$504&lt;$A92+Configuración!$C$7/1440)*(Escaleta!$E$5:$E$504&gt;$A92)*ROW(Escaleta!$A$5:$A$504))))</f>
        <v/>
      </c>
      <c r="P92" s="50">
        <f>IF(OR($A92="",F$6=""),0,SUMPRODUCT(MAX((Escaleta!$A$5:$A$504=$B$4)*(Escaleta!$H$5:$H$504=F$6)*(Escaleta!$K$5:$K$504&lt;&gt;"Cancelada")*(Escaleta!$C$5:$C$504&lt;$A92+Configuración!$C$7/1440)*(Escaleta!$E$5:$E$504&gt;$A92)*ROW(Escaleta!$A$5:$A$504))))</f>
        <v/>
      </c>
      <c r="Q92" s="50">
        <f>IF(OR($A92="",G$6=""),0,SUMPRODUCT(MAX((Escaleta!$A$5:$A$504=$B$4)*(Escaleta!$H$5:$H$504=G$6)*(Escaleta!$K$5:$K$504&lt;&gt;"Cancelada")*(Escaleta!$C$5:$C$504&lt;$A92+Configuración!$C$7/1440)*(Escaleta!$E$5:$E$504&gt;$A92)*ROW(Escaleta!$A$5:$A$504))))</f>
        <v/>
      </c>
      <c r="R92" s="50">
        <f>IF(OR($A92="",H$6=""),0,SUMPRODUCT(MAX((Escaleta!$A$5:$A$504=$B$4)*(Escaleta!$H$5:$H$504=H$6)*(Escaleta!$K$5:$K$504&lt;&gt;"Cancelada")*(Escaleta!$C$5:$C$504&lt;$A92+Configuración!$C$7/1440)*(Escaleta!$E$5:$E$504&gt;$A92)*ROW(Escaleta!$A$5:$A$504))))</f>
        <v/>
      </c>
      <c r="S92" s="50">
        <f>IF(OR($A92="",I$6=""),0,SUMPRODUCT(MAX((Escaleta!$A$5:$A$504=$B$4)*(Escaleta!$H$5:$H$504=I$6)*(Escaleta!$K$5:$K$504&lt;&gt;"Cancelada")*(Escaleta!$C$5:$C$504&lt;$A92+Configuración!$C$7/1440)*(Escaleta!$E$5:$E$504&gt;$A92)*ROW(Escaleta!$A$5:$A$504))))</f>
        <v/>
      </c>
      <c r="U92" s="50">
        <f>IF(L92=0,"",INDEX(Escaleta!$I$1:$I$504,L92))</f>
        <v/>
      </c>
      <c r="V92" s="50">
        <f>IF(M92=0,"",INDEX(Escaleta!$I$1:$I$504,M92))</f>
        <v/>
      </c>
      <c r="W92" s="50">
        <f>IF(N92=0,"",INDEX(Escaleta!$I$1:$I$504,N92))</f>
        <v/>
      </c>
      <c r="X92" s="50">
        <f>IF(O92=0,"",INDEX(Escaleta!$I$1:$I$504,O92))</f>
        <v/>
      </c>
      <c r="Y92" s="50">
        <f>IF(P92=0,"",INDEX(Escaleta!$I$1:$I$504,P92))</f>
        <v/>
      </c>
      <c r="Z92" s="50">
        <f>IF(Q92=0,"",INDEX(Escaleta!$I$1:$I$504,Q92))</f>
        <v/>
      </c>
      <c r="AA92" s="50">
        <f>IF(R92=0,"",INDEX(Escaleta!$I$1:$I$504,R92))</f>
        <v/>
      </c>
      <c r="AB92" s="50">
        <f>IF(S92=0,"",INDEX(Escaleta!$I$1:$I$504,S92))</f>
        <v/>
      </c>
    </row>
    <row r="93" ht="18" customHeight="1">
      <c r="A93" s="48">
        <f>IF(A92="","",IF(A92+Configuración!$C$7/1440&gt;Configuración!$C$6-0.0001,"",A92+Configuración!$C$7/1440))</f>
        <v/>
      </c>
      <c r="B93" s="49">
        <f>IF(L93=0,"",IF(L93&lt;&gt;L92,INDEX(Escaleta!$F$1:$F$504,L93),IF(L93&lt;&gt;L91,TEXT(INDEX(Escaleta!$C$1:$C$504,L93),"hh:mm")&amp;"–"&amp;TEXT(INDEX(Escaleta!$E$1:$E$504,L93),"hh:mm"),"")))</f>
        <v/>
      </c>
      <c r="C93" s="49">
        <f>IF(M93=0,"",IF(M93&lt;&gt;M92,INDEX(Escaleta!$F$1:$F$504,M93),IF(M93&lt;&gt;M91,TEXT(INDEX(Escaleta!$C$1:$C$504,M93),"hh:mm")&amp;"–"&amp;TEXT(INDEX(Escaleta!$E$1:$E$504,M93),"hh:mm"),"")))</f>
        <v/>
      </c>
      <c r="D93" s="49">
        <f>IF(N93=0,"",IF(N93&lt;&gt;N92,INDEX(Escaleta!$F$1:$F$504,N93),IF(N93&lt;&gt;N91,TEXT(INDEX(Escaleta!$C$1:$C$504,N93),"hh:mm")&amp;"–"&amp;TEXT(INDEX(Escaleta!$E$1:$E$504,N93),"hh:mm"),"")))</f>
        <v/>
      </c>
      <c r="E93" s="49">
        <f>IF(O93=0,"",IF(O93&lt;&gt;O92,INDEX(Escaleta!$F$1:$F$504,O93),IF(O93&lt;&gt;O91,TEXT(INDEX(Escaleta!$C$1:$C$504,O93),"hh:mm")&amp;"–"&amp;TEXT(INDEX(Escaleta!$E$1:$E$504,O93),"hh:mm"),"")))</f>
        <v/>
      </c>
      <c r="F93" s="49">
        <f>IF(P93=0,"",IF(P93&lt;&gt;P92,INDEX(Escaleta!$F$1:$F$504,P93),IF(P93&lt;&gt;P91,TEXT(INDEX(Escaleta!$C$1:$C$504,P93),"hh:mm")&amp;"–"&amp;TEXT(INDEX(Escaleta!$E$1:$E$504,P93),"hh:mm"),"")))</f>
        <v/>
      </c>
      <c r="G93" s="49">
        <f>IF(Q93=0,"",IF(Q93&lt;&gt;Q92,INDEX(Escaleta!$F$1:$F$504,Q93),IF(Q93&lt;&gt;Q91,TEXT(INDEX(Escaleta!$C$1:$C$504,Q93),"hh:mm")&amp;"–"&amp;TEXT(INDEX(Escaleta!$E$1:$E$504,Q93),"hh:mm"),"")))</f>
        <v/>
      </c>
      <c r="H93" s="49">
        <f>IF(R93=0,"",IF(R93&lt;&gt;R92,INDEX(Escaleta!$F$1:$F$504,R93),IF(R93&lt;&gt;R91,TEXT(INDEX(Escaleta!$C$1:$C$504,R93),"hh:mm")&amp;"–"&amp;TEXT(INDEX(Escaleta!$E$1:$E$504,R93),"hh:mm"),"")))</f>
        <v/>
      </c>
      <c r="I93" s="49">
        <f>IF(S93=0,"",IF(S93&lt;&gt;S92,INDEX(Escaleta!$F$1:$F$504,S93),IF(S93&lt;&gt;S91,TEXT(INDEX(Escaleta!$C$1:$C$504,S93),"hh:mm")&amp;"–"&amp;TEXT(INDEX(Escaleta!$E$1:$E$504,S93),"hh:mm"),"")))</f>
        <v/>
      </c>
      <c r="L93" s="50">
        <f>IF(OR($A93="",B$6=""),0,SUMPRODUCT(MAX((Escaleta!$A$5:$A$504=$B$4)*(Escaleta!$H$5:$H$504=B$6)*(Escaleta!$K$5:$K$504&lt;&gt;"Cancelada")*(Escaleta!$C$5:$C$504&lt;$A93+Configuración!$C$7/1440)*(Escaleta!$E$5:$E$504&gt;$A93)*ROW(Escaleta!$A$5:$A$504))))</f>
        <v/>
      </c>
      <c r="M93" s="50">
        <f>IF(OR($A93="",C$6=""),0,SUMPRODUCT(MAX((Escaleta!$A$5:$A$504=$B$4)*(Escaleta!$H$5:$H$504=C$6)*(Escaleta!$K$5:$K$504&lt;&gt;"Cancelada")*(Escaleta!$C$5:$C$504&lt;$A93+Configuración!$C$7/1440)*(Escaleta!$E$5:$E$504&gt;$A93)*ROW(Escaleta!$A$5:$A$504))))</f>
        <v/>
      </c>
      <c r="N93" s="50">
        <f>IF(OR($A93="",D$6=""),0,SUMPRODUCT(MAX((Escaleta!$A$5:$A$504=$B$4)*(Escaleta!$H$5:$H$504=D$6)*(Escaleta!$K$5:$K$504&lt;&gt;"Cancelada")*(Escaleta!$C$5:$C$504&lt;$A93+Configuración!$C$7/1440)*(Escaleta!$E$5:$E$504&gt;$A93)*ROW(Escaleta!$A$5:$A$504))))</f>
        <v/>
      </c>
      <c r="O93" s="50">
        <f>IF(OR($A93="",E$6=""),0,SUMPRODUCT(MAX((Escaleta!$A$5:$A$504=$B$4)*(Escaleta!$H$5:$H$504=E$6)*(Escaleta!$K$5:$K$504&lt;&gt;"Cancelada")*(Escaleta!$C$5:$C$504&lt;$A93+Configuración!$C$7/1440)*(Escaleta!$E$5:$E$504&gt;$A93)*ROW(Escaleta!$A$5:$A$504))))</f>
        <v/>
      </c>
      <c r="P93" s="50">
        <f>IF(OR($A93="",F$6=""),0,SUMPRODUCT(MAX((Escaleta!$A$5:$A$504=$B$4)*(Escaleta!$H$5:$H$504=F$6)*(Escaleta!$K$5:$K$504&lt;&gt;"Cancelada")*(Escaleta!$C$5:$C$504&lt;$A93+Configuración!$C$7/1440)*(Escaleta!$E$5:$E$504&gt;$A93)*ROW(Escaleta!$A$5:$A$504))))</f>
        <v/>
      </c>
      <c r="Q93" s="50">
        <f>IF(OR($A93="",G$6=""),0,SUMPRODUCT(MAX((Escaleta!$A$5:$A$504=$B$4)*(Escaleta!$H$5:$H$504=G$6)*(Escaleta!$K$5:$K$504&lt;&gt;"Cancelada")*(Escaleta!$C$5:$C$504&lt;$A93+Configuración!$C$7/1440)*(Escaleta!$E$5:$E$504&gt;$A93)*ROW(Escaleta!$A$5:$A$504))))</f>
        <v/>
      </c>
      <c r="R93" s="50">
        <f>IF(OR($A93="",H$6=""),0,SUMPRODUCT(MAX((Escaleta!$A$5:$A$504=$B$4)*(Escaleta!$H$5:$H$504=H$6)*(Escaleta!$K$5:$K$504&lt;&gt;"Cancelada")*(Escaleta!$C$5:$C$504&lt;$A93+Configuración!$C$7/1440)*(Escaleta!$E$5:$E$504&gt;$A93)*ROW(Escaleta!$A$5:$A$504))))</f>
        <v/>
      </c>
      <c r="S93" s="50">
        <f>IF(OR($A93="",I$6=""),0,SUMPRODUCT(MAX((Escaleta!$A$5:$A$504=$B$4)*(Escaleta!$H$5:$H$504=I$6)*(Escaleta!$K$5:$K$504&lt;&gt;"Cancelada")*(Escaleta!$C$5:$C$504&lt;$A93+Configuración!$C$7/1440)*(Escaleta!$E$5:$E$504&gt;$A93)*ROW(Escaleta!$A$5:$A$504))))</f>
        <v/>
      </c>
      <c r="U93" s="50">
        <f>IF(L93=0,"",INDEX(Escaleta!$I$1:$I$504,L93))</f>
        <v/>
      </c>
      <c r="V93" s="50">
        <f>IF(M93=0,"",INDEX(Escaleta!$I$1:$I$504,M93))</f>
        <v/>
      </c>
      <c r="W93" s="50">
        <f>IF(N93=0,"",INDEX(Escaleta!$I$1:$I$504,N93))</f>
        <v/>
      </c>
      <c r="X93" s="50">
        <f>IF(O93=0,"",INDEX(Escaleta!$I$1:$I$504,O93))</f>
        <v/>
      </c>
      <c r="Y93" s="50">
        <f>IF(P93=0,"",INDEX(Escaleta!$I$1:$I$504,P93))</f>
        <v/>
      </c>
      <c r="Z93" s="50">
        <f>IF(Q93=0,"",INDEX(Escaleta!$I$1:$I$504,Q93))</f>
        <v/>
      </c>
      <c r="AA93" s="50">
        <f>IF(R93=0,"",INDEX(Escaleta!$I$1:$I$504,R93))</f>
        <v/>
      </c>
      <c r="AB93" s="50">
        <f>IF(S93=0,"",INDEX(Escaleta!$I$1:$I$504,S93))</f>
        <v/>
      </c>
    </row>
    <row r="94" ht="18" customHeight="1">
      <c r="A94" s="48">
        <f>IF(A93="","",IF(A93+Configuración!$C$7/1440&gt;Configuración!$C$6-0.0001,"",A93+Configuración!$C$7/1440))</f>
        <v/>
      </c>
      <c r="B94" s="49">
        <f>IF(L94=0,"",IF(L94&lt;&gt;L93,INDEX(Escaleta!$F$1:$F$504,L94),IF(L94&lt;&gt;L92,TEXT(INDEX(Escaleta!$C$1:$C$504,L94),"hh:mm")&amp;"–"&amp;TEXT(INDEX(Escaleta!$E$1:$E$504,L94),"hh:mm"),"")))</f>
        <v/>
      </c>
      <c r="C94" s="49">
        <f>IF(M94=0,"",IF(M94&lt;&gt;M93,INDEX(Escaleta!$F$1:$F$504,M94),IF(M94&lt;&gt;M92,TEXT(INDEX(Escaleta!$C$1:$C$504,M94),"hh:mm")&amp;"–"&amp;TEXT(INDEX(Escaleta!$E$1:$E$504,M94),"hh:mm"),"")))</f>
        <v/>
      </c>
      <c r="D94" s="49">
        <f>IF(N94=0,"",IF(N94&lt;&gt;N93,INDEX(Escaleta!$F$1:$F$504,N94),IF(N94&lt;&gt;N92,TEXT(INDEX(Escaleta!$C$1:$C$504,N94),"hh:mm")&amp;"–"&amp;TEXT(INDEX(Escaleta!$E$1:$E$504,N94),"hh:mm"),"")))</f>
        <v/>
      </c>
      <c r="E94" s="49">
        <f>IF(O94=0,"",IF(O94&lt;&gt;O93,INDEX(Escaleta!$F$1:$F$504,O94),IF(O94&lt;&gt;O92,TEXT(INDEX(Escaleta!$C$1:$C$504,O94),"hh:mm")&amp;"–"&amp;TEXT(INDEX(Escaleta!$E$1:$E$504,O94),"hh:mm"),"")))</f>
        <v/>
      </c>
      <c r="F94" s="49">
        <f>IF(P94=0,"",IF(P94&lt;&gt;P93,INDEX(Escaleta!$F$1:$F$504,P94),IF(P94&lt;&gt;P92,TEXT(INDEX(Escaleta!$C$1:$C$504,P94),"hh:mm")&amp;"–"&amp;TEXT(INDEX(Escaleta!$E$1:$E$504,P94),"hh:mm"),"")))</f>
        <v/>
      </c>
      <c r="G94" s="49">
        <f>IF(Q94=0,"",IF(Q94&lt;&gt;Q93,INDEX(Escaleta!$F$1:$F$504,Q94),IF(Q94&lt;&gt;Q92,TEXT(INDEX(Escaleta!$C$1:$C$504,Q94),"hh:mm")&amp;"–"&amp;TEXT(INDEX(Escaleta!$E$1:$E$504,Q94),"hh:mm"),"")))</f>
        <v/>
      </c>
      <c r="H94" s="49">
        <f>IF(R94=0,"",IF(R94&lt;&gt;R93,INDEX(Escaleta!$F$1:$F$504,R94),IF(R94&lt;&gt;R92,TEXT(INDEX(Escaleta!$C$1:$C$504,R94),"hh:mm")&amp;"–"&amp;TEXT(INDEX(Escaleta!$E$1:$E$504,R94),"hh:mm"),"")))</f>
        <v/>
      </c>
      <c r="I94" s="49">
        <f>IF(S94=0,"",IF(S94&lt;&gt;S93,INDEX(Escaleta!$F$1:$F$504,S94),IF(S94&lt;&gt;S92,TEXT(INDEX(Escaleta!$C$1:$C$504,S94),"hh:mm")&amp;"–"&amp;TEXT(INDEX(Escaleta!$E$1:$E$504,S94),"hh:mm"),"")))</f>
        <v/>
      </c>
      <c r="L94" s="50">
        <f>IF(OR($A94="",B$6=""),0,SUMPRODUCT(MAX((Escaleta!$A$5:$A$504=$B$4)*(Escaleta!$H$5:$H$504=B$6)*(Escaleta!$K$5:$K$504&lt;&gt;"Cancelada")*(Escaleta!$C$5:$C$504&lt;$A94+Configuración!$C$7/1440)*(Escaleta!$E$5:$E$504&gt;$A94)*ROW(Escaleta!$A$5:$A$504))))</f>
        <v/>
      </c>
      <c r="M94" s="50">
        <f>IF(OR($A94="",C$6=""),0,SUMPRODUCT(MAX((Escaleta!$A$5:$A$504=$B$4)*(Escaleta!$H$5:$H$504=C$6)*(Escaleta!$K$5:$K$504&lt;&gt;"Cancelada")*(Escaleta!$C$5:$C$504&lt;$A94+Configuración!$C$7/1440)*(Escaleta!$E$5:$E$504&gt;$A94)*ROW(Escaleta!$A$5:$A$504))))</f>
        <v/>
      </c>
      <c r="N94" s="50">
        <f>IF(OR($A94="",D$6=""),0,SUMPRODUCT(MAX((Escaleta!$A$5:$A$504=$B$4)*(Escaleta!$H$5:$H$504=D$6)*(Escaleta!$K$5:$K$504&lt;&gt;"Cancelada")*(Escaleta!$C$5:$C$504&lt;$A94+Configuración!$C$7/1440)*(Escaleta!$E$5:$E$504&gt;$A94)*ROW(Escaleta!$A$5:$A$504))))</f>
        <v/>
      </c>
      <c r="O94" s="50">
        <f>IF(OR($A94="",E$6=""),0,SUMPRODUCT(MAX((Escaleta!$A$5:$A$504=$B$4)*(Escaleta!$H$5:$H$504=E$6)*(Escaleta!$K$5:$K$504&lt;&gt;"Cancelada")*(Escaleta!$C$5:$C$504&lt;$A94+Configuración!$C$7/1440)*(Escaleta!$E$5:$E$504&gt;$A94)*ROW(Escaleta!$A$5:$A$504))))</f>
        <v/>
      </c>
      <c r="P94" s="50">
        <f>IF(OR($A94="",F$6=""),0,SUMPRODUCT(MAX((Escaleta!$A$5:$A$504=$B$4)*(Escaleta!$H$5:$H$504=F$6)*(Escaleta!$K$5:$K$504&lt;&gt;"Cancelada")*(Escaleta!$C$5:$C$504&lt;$A94+Configuración!$C$7/1440)*(Escaleta!$E$5:$E$504&gt;$A94)*ROW(Escaleta!$A$5:$A$504))))</f>
        <v/>
      </c>
      <c r="Q94" s="50">
        <f>IF(OR($A94="",G$6=""),0,SUMPRODUCT(MAX((Escaleta!$A$5:$A$504=$B$4)*(Escaleta!$H$5:$H$504=G$6)*(Escaleta!$K$5:$K$504&lt;&gt;"Cancelada")*(Escaleta!$C$5:$C$504&lt;$A94+Configuración!$C$7/1440)*(Escaleta!$E$5:$E$504&gt;$A94)*ROW(Escaleta!$A$5:$A$504))))</f>
        <v/>
      </c>
      <c r="R94" s="50">
        <f>IF(OR($A94="",H$6=""),0,SUMPRODUCT(MAX((Escaleta!$A$5:$A$504=$B$4)*(Escaleta!$H$5:$H$504=H$6)*(Escaleta!$K$5:$K$504&lt;&gt;"Cancelada")*(Escaleta!$C$5:$C$504&lt;$A94+Configuración!$C$7/1440)*(Escaleta!$E$5:$E$504&gt;$A94)*ROW(Escaleta!$A$5:$A$504))))</f>
        <v/>
      </c>
      <c r="S94" s="50">
        <f>IF(OR($A94="",I$6=""),0,SUMPRODUCT(MAX((Escaleta!$A$5:$A$504=$B$4)*(Escaleta!$H$5:$H$504=I$6)*(Escaleta!$K$5:$K$504&lt;&gt;"Cancelada")*(Escaleta!$C$5:$C$504&lt;$A94+Configuración!$C$7/1440)*(Escaleta!$E$5:$E$504&gt;$A94)*ROW(Escaleta!$A$5:$A$504))))</f>
        <v/>
      </c>
      <c r="U94" s="50">
        <f>IF(L94=0,"",INDEX(Escaleta!$I$1:$I$504,L94))</f>
        <v/>
      </c>
      <c r="V94" s="50">
        <f>IF(M94=0,"",INDEX(Escaleta!$I$1:$I$504,M94))</f>
        <v/>
      </c>
      <c r="W94" s="50">
        <f>IF(N94=0,"",INDEX(Escaleta!$I$1:$I$504,N94))</f>
        <v/>
      </c>
      <c r="X94" s="50">
        <f>IF(O94=0,"",INDEX(Escaleta!$I$1:$I$504,O94))</f>
        <v/>
      </c>
      <c r="Y94" s="50">
        <f>IF(P94=0,"",INDEX(Escaleta!$I$1:$I$504,P94))</f>
        <v/>
      </c>
      <c r="Z94" s="50">
        <f>IF(Q94=0,"",INDEX(Escaleta!$I$1:$I$504,Q94))</f>
        <v/>
      </c>
      <c r="AA94" s="50">
        <f>IF(R94=0,"",INDEX(Escaleta!$I$1:$I$504,R94))</f>
        <v/>
      </c>
      <c r="AB94" s="50">
        <f>IF(S94=0,"",INDEX(Escaleta!$I$1:$I$504,S94))</f>
        <v/>
      </c>
    </row>
    <row r="95" ht="18" customHeight="1">
      <c r="A95" s="48">
        <f>IF(A94="","",IF(A94+Configuración!$C$7/1440&gt;Configuración!$C$6-0.0001,"",A94+Configuración!$C$7/1440))</f>
        <v/>
      </c>
      <c r="B95" s="49">
        <f>IF(L95=0,"",IF(L95&lt;&gt;L94,INDEX(Escaleta!$F$1:$F$504,L95),IF(L95&lt;&gt;L93,TEXT(INDEX(Escaleta!$C$1:$C$504,L95),"hh:mm")&amp;"–"&amp;TEXT(INDEX(Escaleta!$E$1:$E$504,L95),"hh:mm"),"")))</f>
        <v/>
      </c>
      <c r="C95" s="49">
        <f>IF(M95=0,"",IF(M95&lt;&gt;M94,INDEX(Escaleta!$F$1:$F$504,M95),IF(M95&lt;&gt;M93,TEXT(INDEX(Escaleta!$C$1:$C$504,M95),"hh:mm")&amp;"–"&amp;TEXT(INDEX(Escaleta!$E$1:$E$504,M95),"hh:mm"),"")))</f>
        <v/>
      </c>
      <c r="D95" s="49">
        <f>IF(N95=0,"",IF(N95&lt;&gt;N94,INDEX(Escaleta!$F$1:$F$504,N95),IF(N95&lt;&gt;N93,TEXT(INDEX(Escaleta!$C$1:$C$504,N95),"hh:mm")&amp;"–"&amp;TEXT(INDEX(Escaleta!$E$1:$E$504,N95),"hh:mm"),"")))</f>
        <v/>
      </c>
      <c r="E95" s="49">
        <f>IF(O95=0,"",IF(O95&lt;&gt;O94,INDEX(Escaleta!$F$1:$F$504,O95),IF(O95&lt;&gt;O93,TEXT(INDEX(Escaleta!$C$1:$C$504,O95),"hh:mm")&amp;"–"&amp;TEXT(INDEX(Escaleta!$E$1:$E$504,O95),"hh:mm"),"")))</f>
        <v/>
      </c>
      <c r="F95" s="49">
        <f>IF(P95=0,"",IF(P95&lt;&gt;P94,INDEX(Escaleta!$F$1:$F$504,P95),IF(P95&lt;&gt;P93,TEXT(INDEX(Escaleta!$C$1:$C$504,P95),"hh:mm")&amp;"–"&amp;TEXT(INDEX(Escaleta!$E$1:$E$504,P95),"hh:mm"),"")))</f>
        <v/>
      </c>
      <c r="G95" s="49">
        <f>IF(Q95=0,"",IF(Q95&lt;&gt;Q94,INDEX(Escaleta!$F$1:$F$504,Q95),IF(Q95&lt;&gt;Q93,TEXT(INDEX(Escaleta!$C$1:$C$504,Q95),"hh:mm")&amp;"–"&amp;TEXT(INDEX(Escaleta!$E$1:$E$504,Q95),"hh:mm"),"")))</f>
        <v/>
      </c>
      <c r="H95" s="49">
        <f>IF(R95=0,"",IF(R95&lt;&gt;R94,INDEX(Escaleta!$F$1:$F$504,R95),IF(R95&lt;&gt;R93,TEXT(INDEX(Escaleta!$C$1:$C$504,R95),"hh:mm")&amp;"–"&amp;TEXT(INDEX(Escaleta!$E$1:$E$504,R95),"hh:mm"),"")))</f>
        <v/>
      </c>
      <c r="I95" s="49">
        <f>IF(S95=0,"",IF(S95&lt;&gt;S94,INDEX(Escaleta!$F$1:$F$504,S95),IF(S95&lt;&gt;S93,TEXT(INDEX(Escaleta!$C$1:$C$504,S95),"hh:mm")&amp;"–"&amp;TEXT(INDEX(Escaleta!$E$1:$E$504,S95),"hh:mm"),"")))</f>
        <v/>
      </c>
      <c r="L95" s="50">
        <f>IF(OR($A95="",B$6=""),0,SUMPRODUCT(MAX((Escaleta!$A$5:$A$504=$B$4)*(Escaleta!$H$5:$H$504=B$6)*(Escaleta!$K$5:$K$504&lt;&gt;"Cancelada")*(Escaleta!$C$5:$C$504&lt;$A95+Configuración!$C$7/1440)*(Escaleta!$E$5:$E$504&gt;$A95)*ROW(Escaleta!$A$5:$A$504))))</f>
        <v/>
      </c>
      <c r="M95" s="50">
        <f>IF(OR($A95="",C$6=""),0,SUMPRODUCT(MAX((Escaleta!$A$5:$A$504=$B$4)*(Escaleta!$H$5:$H$504=C$6)*(Escaleta!$K$5:$K$504&lt;&gt;"Cancelada")*(Escaleta!$C$5:$C$504&lt;$A95+Configuración!$C$7/1440)*(Escaleta!$E$5:$E$504&gt;$A95)*ROW(Escaleta!$A$5:$A$504))))</f>
        <v/>
      </c>
      <c r="N95" s="50">
        <f>IF(OR($A95="",D$6=""),0,SUMPRODUCT(MAX((Escaleta!$A$5:$A$504=$B$4)*(Escaleta!$H$5:$H$504=D$6)*(Escaleta!$K$5:$K$504&lt;&gt;"Cancelada")*(Escaleta!$C$5:$C$504&lt;$A95+Configuración!$C$7/1440)*(Escaleta!$E$5:$E$504&gt;$A95)*ROW(Escaleta!$A$5:$A$504))))</f>
        <v/>
      </c>
      <c r="O95" s="50">
        <f>IF(OR($A95="",E$6=""),0,SUMPRODUCT(MAX((Escaleta!$A$5:$A$504=$B$4)*(Escaleta!$H$5:$H$504=E$6)*(Escaleta!$K$5:$K$504&lt;&gt;"Cancelada")*(Escaleta!$C$5:$C$504&lt;$A95+Configuración!$C$7/1440)*(Escaleta!$E$5:$E$504&gt;$A95)*ROW(Escaleta!$A$5:$A$504))))</f>
        <v/>
      </c>
      <c r="P95" s="50">
        <f>IF(OR($A95="",F$6=""),0,SUMPRODUCT(MAX((Escaleta!$A$5:$A$504=$B$4)*(Escaleta!$H$5:$H$504=F$6)*(Escaleta!$K$5:$K$504&lt;&gt;"Cancelada")*(Escaleta!$C$5:$C$504&lt;$A95+Configuración!$C$7/1440)*(Escaleta!$E$5:$E$504&gt;$A95)*ROW(Escaleta!$A$5:$A$504))))</f>
        <v/>
      </c>
      <c r="Q95" s="50">
        <f>IF(OR($A95="",G$6=""),0,SUMPRODUCT(MAX((Escaleta!$A$5:$A$504=$B$4)*(Escaleta!$H$5:$H$504=G$6)*(Escaleta!$K$5:$K$504&lt;&gt;"Cancelada")*(Escaleta!$C$5:$C$504&lt;$A95+Configuración!$C$7/1440)*(Escaleta!$E$5:$E$504&gt;$A95)*ROW(Escaleta!$A$5:$A$504))))</f>
        <v/>
      </c>
      <c r="R95" s="50">
        <f>IF(OR($A95="",H$6=""),0,SUMPRODUCT(MAX((Escaleta!$A$5:$A$504=$B$4)*(Escaleta!$H$5:$H$504=H$6)*(Escaleta!$K$5:$K$504&lt;&gt;"Cancelada")*(Escaleta!$C$5:$C$504&lt;$A95+Configuración!$C$7/1440)*(Escaleta!$E$5:$E$504&gt;$A95)*ROW(Escaleta!$A$5:$A$504))))</f>
        <v/>
      </c>
      <c r="S95" s="50">
        <f>IF(OR($A95="",I$6=""),0,SUMPRODUCT(MAX((Escaleta!$A$5:$A$504=$B$4)*(Escaleta!$H$5:$H$504=I$6)*(Escaleta!$K$5:$K$504&lt;&gt;"Cancelada")*(Escaleta!$C$5:$C$504&lt;$A95+Configuración!$C$7/1440)*(Escaleta!$E$5:$E$504&gt;$A95)*ROW(Escaleta!$A$5:$A$504))))</f>
        <v/>
      </c>
      <c r="U95" s="50">
        <f>IF(L95=0,"",INDEX(Escaleta!$I$1:$I$504,L95))</f>
        <v/>
      </c>
      <c r="V95" s="50">
        <f>IF(M95=0,"",INDEX(Escaleta!$I$1:$I$504,M95))</f>
        <v/>
      </c>
      <c r="W95" s="50">
        <f>IF(N95=0,"",INDEX(Escaleta!$I$1:$I$504,N95))</f>
        <v/>
      </c>
      <c r="X95" s="50">
        <f>IF(O95=0,"",INDEX(Escaleta!$I$1:$I$504,O95))</f>
        <v/>
      </c>
      <c r="Y95" s="50">
        <f>IF(P95=0,"",INDEX(Escaleta!$I$1:$I$504,P95))</f>
        <v/>
      </c>
      <c r="Z95" s="50">
        <f>IF(Q95=0,"",INDEX(Escaleta!$I$1:$I$504,Q95))</f>
        <v/>
      </c>
      <c r="AA95" s="50">
        <f>IF(R95=0,"",INDEX(Escaleta!$I$1:$I$504,R95))</f>
        <v/>
      </c>
      <c r="AB95" s="50">
        <f>IF(S95=0,"",INDEX(Escaleta!$I$1:$I$504,S95))</f>
        <v/>
      </c>
    </row>
    <row r="96" ht="18" customHeight="1">
      <c r="A96" s="48">
        <f>IF(A95="","",IF(A95+Configuración!$C$7/1440&gt;Configuración!$C$6-0.0001,"",A95+Configuración!$C$7/1440))</f>
        <v/>
      </c>
      <c r="B96" s="49">
        <f>IF(L96=0,"",IF(L96&lt;&gt;L95,INDEX(Escaleta!$F$1:$F$504,L96),IF(L96&lt;&gt;L94,TEXT(INDEX(Escaleta!$C$1:$C$504,L96),"hh:mm")&amp;"–"&amp;TEXT(INDEX(Escaleta!$E$1:$E$504,L96),"hh:mm"),"")))</f>
        <v/>
      </c>
      <c r="C96" s="49">
        <f>IF(M96=0,"",IF(M96&lt;&gt;M95,INDEX(Escaleta!$F$1:$F$504,M96),IF(M96&lt;&gt;M94,TEXT(INDEX(Escaleta!$C$1:$C$504,M96),"hh:mm")&amp;"–"&amp;TEXT(INDEX(Escaleta!$E$1:$E$504,M96),"hh:mm"),"")))</f>
        <v/>
      </c>
      <c r="D96" s="49">
        <f>IF(N96=0,"",IF(N96&lt;&gt;N95,INDEX(Escaleta!$F$1:$F$504,N96),IF(N96&lt;&gt;N94,TEXT(INDEX(Escaleta!$C$1:$C$504,N96),"hh:mm")&amp;"–"&amp;TEXT(INDEX(Escaleta!$E$1:$E$504,N96),"hh:mm"),"")))</f>
        <v/>
      </c>
      <c r="E96" s="49">
        <f>IF(O96=0,"",IF(O96&lt;&gt;O95,INDEX(Escaleta!$F$1:$F$504,O96),IF(O96&lt;&gt;O94,TEXT(INDEX(Escaleta!$C$1:$C$504,O96),"hh:mm")&amp;"–"&amp;TEXT(INDEX(Escaleta!$E$1:$E$504,O96),"hh:mm"),"")))</f>
        <v/>
      </c>
      <c r="F96" s="49">
        <f>IF(P96=0,"",IF(P96&lt;&gt;P95,INDEX(Escaleta!$F$1:$F$504,P96),IF(P96&lt;&gt;P94,TEXT(INDEX(Escaleta!$C$1:$C$504,P96),"hh:mm")&amp;"–"&amp;TEXT(INDEX(Escaleta!$E$1:$E$504,P96),"hh:mm"),"")))</f>
        <v/>
      </c>
      <c r="G96" s="49">
        <f>IF(Q96=0,"",IF(Q96&lt;&gt;Q95,INDEX(Escaleta!$F$1:$F$504,Q96),IF(Q96&lt;&gt;Q94,TEXT(INDEX(Escaleta!$C$1:$C$504,Q96),"hh:mm")&amp;"–"&amp;TEXT(INDEX(Escaleta!$E$1:$E$504,Q96),"hh:mm"),"")))</f>
        <v/>
      </c>
      <c r="H96" s="49">
        <f>IF(R96=0,"",IF(R96&lt;&gt;R95,INDEX(Escaleta!$F$1:$F$504,R96),IF(R96&lt;&gt;R94,TEXT(INDEX(Escaleta!$C$1:$C$504,R96),"hh:mm")&amp;"–"&amp;TEXT(INDEX(Escaleta!$E$1:$E$504,R96),"hh:mm"),"")))</f>
        <v/>
      </c>
      <c r="I96" s="49">
        <f>IF(S96=0,"",IF(S96&lt;&gt;S95,INDEX(Escaleta!$F$1:$F$504,S96),IF(S96&lt;&gt;S94,TEXT(INDEX(Escaleta!$C$1:$C$504,S96),"hh:mm")&amp;"–"&amp;TEXT(INDEX(Escaleta!$E$1:$E$504,S96),"hh:mm"),"")))</f>
        <v/>
      </c>
      <c r="L96" s="50">
        <f>IF(OR($A96="",B$6=""),0,SUMPRODUCT(MAX((Escaleta!$A$5:$A$504=$B$4)*(Escaleta!$H$5:$H$504=B$6)*(Escaleta!$K$5:$K$504&lt;&gt;"Cancelada")*(Escaleta!$C$5:$C$504&lt;$A96+Configuración!$C$7/1440)*(Escaleta!$E$5:$E$504&gt;$A96)*ROW(Escaleta!$A$5:$A$504))))</f>
        <v/>
      </c>
      <c r="M96" s="50">
        <f>IF(OR($A96="",C$6=""),0,SUMPRODUCT(MAX((Escaleta!$A$5:$A$504=$B$4)*(Escaleta!$H$5:$H$504=C$6)*(Escaleta!$K$5:$K$504&lt;&gt;"Cancelada")*(Escaleta!$C$5:$C$504&lt;$A96+Configuración!$C$7/1440)*(Escaleta!$E$5:$E$504&gt;$A96)*ROW(Escaleta!$A$5:$A$504))))</f>
        <v/>
      </c>
      <c r="N96" s="50">
        <f>IF(OR($A96="",D$6=""),0,SUMPRODUCT(MAX((Escaleta!$A$5:$A$504=$B$4)*(Escaleta!$H$5:$H$504=D$6)*(Escaleta!$K$5:$K$504&lt;&gt;"Cancelada")*(Escaleta!$C$5:$C$504&lt;$A96+Configuración!$C$7/1440)*(Escaleta!$E$5:$E$504&gt;$A96)*ROW(Escaleta!$A$5:$A$504))))</f>
        <v/>
      </c>
      <c r="O96" s="50">
        <f>IF(OR($A96="",E$6=""),0,SUMPRODUCT(MAX((Escaleta!$A$5:$A$504=$B$4)*(Escaleta!$H$5:$H$504=E$6)*(Escaleta!$K$5:$K$504&lt;&gt;"Cancelada")*(Escaleta!$C$5:$C$504&lt;$A96+Configuración!$C$7/1440)*(Escaleta!$E$5:$E$504&gt;$A96)*ROW(Escaleta!$A$5:$A$504))))</f>
        <v/>
      </c>
      <c r="P96" s="50">
        <f>IF(OR($A96="",F$6=""),0,SUMPRODUCT(MAX((Escaleta!$A$5:$A$504=$B$4)*(Escaleta!$H$5:$H$504=F$6)*(Escaleta!$K$5:$K$504&lt;&gt;"Cancelada")*(Escaleta!$C$5:$C$504&lt;$A96+Configuración!$C$7/1440)*(Escaleta!$E$5:$E$504&gt;$A96)*ROW(Escaleta!$A$5:$A$504))))</f>
        <v/>
      </c>
      <c r="Q96" s="50">
        <f>IF(OR($A96="",G$6=""),0,SUMPRODUCT(MAX((Escaleta!$A$5:$A$504=$B$4)*(Escaleta!$H$5:$H$504=G$6)*(Escaleta!$K$5:$K$504&lt;&gt;"Cancelada")*(Escaleta!$C$5:$C$504&lt;$A96+Configuración!$C$7/1440)*(Escaleta!$E$5:$E$504&gt;$A96)*ROW(Escaleta!$A$5:$A$504))))</f>
        <v/>
      </c>
      <c r="R96" s="50">
        <f>IF(OR($A96="",H$6=""),0,SUMPRODUCT(MAX((Escaleta!$A$5:$A$504=$B$4)*(Escaleta!$H$5:$H$504=H$6)*(Escaleta!$K$5:$K$504&lt;&gt;"Cancelada")*(Escaleta!$C$5:$C$504&lt;$A96+Configuración!$C$7/1440)*(Escaleta!$E$5:$E$504&gt;$A96)*ROW(Escaleta!$A$5:$A$504))))</f>
        <v/>
      </c>
      <c r="S96" s="50">
        <f>IF(OR($A96="",I$6=""),0,SUMPRODUCT(MAX((Escaleta!$A$5:$A$504=$B$4)*(Escaleta!$H$5:$H$504=I$6)*(Escaleta!$K$5:$K$504&lt;&gt;"Cancelada")*(Escaleta!$C$5:$C$504&lt;$A96+Configuración!$C$7/1440)*(Escaleta!$E$5:$E$504&gt;$A96)*ROW(Escaleta!$A$5:$A$504))))</f>
        <v/>
      </c>
      <c r="U96" s="50">
        <f>IF(L96=0,"",INDEX(Escaleta!$I$1:$I$504,L96))</f>
        <v/>
      </c>
      <c r="V96" s="50">
        <f>IF(M96=0,"",INDEX(Escaleta!$I$1:$I$504,M96))</f>
        <v/>
      </c>
      <c r="W96" s="50">
        <f>IF(N96=0,"",INDEX(Escaleta!$I$1:$I$504,N96))</f>
        <v/>
      </c>
      <c r="X96" s="50">
        <f>IF(O96=0,"",INDEX(Escaleta!$I$1:$I$504,O96))</f>
        <v/>
      </c>
      <c r="Y96" s="50">
        <f>IF(P96=0,"",INDEX(Escaleta!$I$1:$I$504,P96))</f>
        <v/>
      </c>
      <c r="Z96" s="50">
        <f>IF(Q96=0,"",INDEX(Escaleta!$I$1:$I$504,Q96))</f>
        <v/>
      </c>
      <c r="AA96" s="50">
        <f>IF(R96=0,"",INDEX(Escaleta!$I$1:$I$504,R96))</f>
        <v/>
      </c>
      <c r="AB96" s="50">
        <f>IF(S96=0,"",INDEX(Escaleta!$I$1:$I$504,S96))</f>
        <v/>
      </c>
    </row>
    <row r="97" ht="18" customHeight="1">
      <c r="A97" s="48">
        <f>IF(A96="","",IF(A96+Configuración!$C$7/1440&gt;Configuración!$C$6-0.0001,"",A96+Configuración!$C$7/1440))</f>
        <v/>
      </c>
      <c r="B97" s="49">
        <f>IF(L97=0,"",IF(L97&lt;&gt;L96,INDEX(Escaleta!$F$1:$F$504,L97),IF(L97&lt;&gt;L95,TEXT(INDEX(Escaleta!$C$1:$C$504,L97),"hh:mm")&amp;"–"&amp;TEXT(INDEX(Escaleta!$E$1:$E$504,L97),"hh:mm"),"")))</f>
        <v/>
      </c>
      <c r="C97" s="49">
        <f>IF(M97=0,"",IF(M97&lt;&gt;M96,INDEX(Escaleta!$F$1:$F$504,M97),IF(M97&lt;&gt;M95,TEXT(INDEX(Escaleta!$C$1:$C$504,M97),"hh:mm")&amp;"–"&amp;TEXT(INDEX(Escaleta!$E$1:$E$504,M97),"hh:mm"),"")))</f>
        <v/>
      </c>
      <c r="D97" s="49">
        <f>IF(N97=0,"",IF(N97&lt;&gt;N96,INDEX(Escaleta!$F$1:$F$504,N97),IF(N97&lt;&gt;N95,TEXT(INDEX(Escaleta!$C$1:$C$504,N97),"hh:mm")&amp;"–"&amp;TEXT(INDEX(Escaleta!$E$1:$E$504,N97),"hh:mm"),"")))</f>
        <v/>
      </c>
      <c r="E97" s="49">
        <f>IF(O97=0,"",IF(O97&lt;&gt;O96,INDEX(Escaleta!$F$1:$F$504,O97),IF(O97&lt;&gt;O95,TEXT(INDEX(Escaleta!$C$1:$C$504,O97),"hh:mm")&amp;"–"&amp;TEXT(INDEX(Escaleta!$E$1:$E$504,O97),"hh:mm"),"")))</f>
        <v/>
      </c>
      <c r="F97" s="49">
        <f>IF(P97=0,"",IF(P97&lt;&gt;P96,INDEX(Escaleta!$F$1:$F$504,P97),IF(P97&lt;&gt;P95,TEXT(INDEX(Escaleta!$C$1:$C$504,P97),"hh:mm")&amp;"–"&amp;TEXT(INDEX(Escaleta!$E$1:$E$504,P97),"hh:mm"),"")))</f>
        <v/>
      </c>
      <c r="G97" s="49">
        <f>IF(Q97=0,"",IF(Q97&lt;&gt;Q96,INDEX(Escaleta!$F$1:$F$504,Q97),IF(Q97&lt;&gt;Q95,TEXT(INDEX(Escaleta!$C$1:$C$504,Q97),"hh:mm")&amp;"–"&amp;TEXT(INDEX(Escaleta!$E$1:$E$504,Q97),"hh:mm"),"")))</f>
        <v/>
      </c>
      <c r="H97" s="49">
        <f>IF(R97=0,"",IF(R97&lt;&gt;R96,INDEX(Escaleta!$F$1:$F$504,R97),IF(R97&lt;&gt;R95,TEXT(INDEX(Escaleta!$C$1:$C$504,R97),"hh:mm")&amp;"–"&amp;TEXT(INDEX(Escaleta!$E$1:$E$504,R97),"hh:mm"),"")))</f>
        <v/>
      </c>
      <c r="I97" s="49">
        <f>IF(S97=0,"",IF(S97&lt;&gt;S96,INDEX(Escaleta!$F$1:$F$504,S97),IF(S97&lt;&gt;S95,TEXT(INDEX(Escaleta!$C$1:$C$504,S97),"hh:mm")&amp;"–"&amp;TEXT(INDEX(Escaleta!$E$1:$E$504,S97),"hh:mm"),"")))</f>
        <v/>
      </c>
      <c r="L97" s="50">
        <f>IF(OR($A97="",B$6=""),0,SUMPRODUCT(MAX((Escaleta!$A$5:$A$504=$B$4)*(Escaleta!$H$5:$H$504=B$6)*(Escaleta!$K$5:$K$504&lt;&gt;"Cancelada")*(Escaleta!$C$5:$C$504&lt;$A97+Configuración!$C$7/1440)*(Escaleta!$E$5:$E$504&gt;$A97)*ROW(Escaleta!$A$5:$A$504))))</f>
        <v/>
      </c>
      <c r="M97" s="50">
        <f>IF(OR($A97="",C$6=""),0,SUMPRODUCT(MAX((Escaleta!$A$5:$A$504=$B$4)*(Escaleta!$H$5:$H$504=C$6)*(Escaleta!$K$5:$K$504&lt;&gt;"Cancelada")*(Escaleta!$C$5:$C$504&lt;$A97+Configuración!$C$7/1440)*(Escaleta!$E$5:$E$504&gt;$A97)*ROW(Escaleta!$A$5:$A$504))))</f>
        <v/>
      </c>
      <c r="N97" s="50">
        <f>IF(OR($A97="",D$6=""),0,SUMPRODUCT(MAX((Escaleta!$A$5:$A$504=$B$4)*(Escaleta!$H$5:$H$504=D$6)*(Escaleta!$K$5:$K$504&lt;&gt;"Cancelada")*(Escaleta!$C$5:$C$504&lt;$A97+Configuración!$C$7/1440)*(Escaleta!$E$5:$E$504&gt;$A97)*ROW(Escaleta!$A$5:$A$504))))</f>
        <v/>
      </c>
      <c r="O97" s="50">
        <f>IF(OR($A97="",E$6=""),0,SUMPRODUCT(MAX((Escaleta!$A$5:$A$504=$B$4)*(Escaleta!$H$5:$H$504=E$6)*(Escaleta!$K$5:$K$504&lt;&gt;"Cancelada")*(Escaleta!$C$5:$C$504&lt;$A97+Configuración!$C$7/1440)*(Escaleta!$E$5:$E$504&gt;$A97)*ROW(Escaleta!$A$5:$A$504))))</f>
        <v/>
      </c>
      <c r="P97" s="50">
        <f>IF(OR($A97="",F$6=""),0,SUMPRODUCT(MAX((Escaleta!$A$5:$A$504=$B$4)*(Escaleta!$H$5:$H$504=F$6)*(Escaleta!$K$5:$K$504&lt;&gt;"Cancelada")*(Escaleta!$C$5:$C$504&lt;$A97+Configuración!$C$7/1440)*(Escaleta!$E$5:$E$504&gt;$A97)*ROW(Escaleta!$A$5:$A$504))))</f>
        <v/>
      </c>
      <c r="Q97" s="50">
        <f>IF(OR($A97="",G$6=""),0,SUMPRODUCT(MAX((Escaleta!$A$5:$A$504=$B$4)*(Escaleta!$H$5:$H$504=G$6)*(Escaleta!$K$5:$K$504&lt;&gt;"Cancelada")*(Escaleta!$C$5:$C$504&lt;$A97+Configuración!$C$7/1440)*(Escaleta!$E$5:$E$504&gt;$A97)*ROW(Escaleta!$A$5:$A$504))))</f>
        <v/>
      </c>
      <c r="R97" s="50">
        <f>IF(OR($A97="",H$6=""),0,SUMPRODUCT(MAX((Escaleta!$A$5:$A$504=$B$4)*(Escaleta!$H$5:$H$504=H$6)*(Escaleta!$K$5:$K$504&lt;&gt;"Cancelada")*(Escaleta!$C$5:$C$504&lt;$A97+Configuración!$C$7/1440)*(Escaleta!$E$5:$E$504&gt;$A97)*ROW(Escaleta!$A$5:$A$504))))</f>
        <v/>
      </c>
      <c r="S97" s="50">
        <f>IF(OR($A97="",I$6=""),0,SUMPRODUCT(MAX((Escaleta!$A$5:$A$504=$B$4)*(Escaleta!$H$5:$H$504=I$6)*(Escaleta!$K$5:$K$504&lt;&gt;"Cancelada")*(Escaleta!$C$5:$C$504&lt;$A97+Configuración!$C$7/1440)*(Escaleta!$E$5:$E$504&gt;$A97)*ROW(Escaleta!$A$5:$A$504))))</f>
        <v/>
      </c>
      <c r="U97" s="50">
        <f>IF(L97=0,"",INDEX(Escaleta!$I$1:$I$504,L97))</f>
        <v/>
      </c>
      <c r="V97" s="50">
        <f>IF(M97=0,"",INDEX(Escaleta!$I$1:$I$504,M97))</f>
        <v/>
      </c>
      <c r="W97" s="50">
        <f>IF(N97=0,"",INDEX(Escaleta!$I$1:$I$504,N97))</f>
        <v/>
      </c>
      <c r="X97" s="50">
        <f>IF(O97=0,"",INDEX(Escaleta!$I$1:$I$504,O97))</f>
        <v/>
      </c>
      <c r="Y97" s="50">
        <f>IF(P97=0,"",INDEX(Escaleta!$I$1:$I$504,P97))</f>
        <v/>
      </c>
      <c r="Z97" s="50">
        <f>IF(Q97=0,"",INDEX(Escaleta!$I$1:$I$504,Q97))</f>
        <v/>
      </c>
      <c r="AA97" s="50">
        <f>IF(R97=0,"",INDEX(Escaleta!$I$1:$I$504,R97))</f>
        <v/>
      </c>
      <c r="AB97" s="50">
        <f>IF(S97=0,"",INDEX(Escaleta!$I$1:$I$504,S97))</f>
        <v/>
      </c>
    </row>
    <row r="98" ht="18" customHeight="1">
      <c r="A98" s="48">
        <f>IF(A97="","",IF(A97+Configuración!$C$7/1440&gt;Configuración!$C$6-0.0001,"",A97+Configuración!$C$7/1440))</f>
        <v/>
      </c>
      <c r="B98" s="49">
        <f>IF(L98=0,"",IF(L98&lt;&gt;L97,INDEX(Escaleta!$F$1:$F$504,L98),IF(L98&lt;&gt;L96,TEXT(INDEX(Escaleta!$C$1:$C$504,L98),"hh:mm")&amp;"–"&amp;TEXT(INDEX(Escaleta!$E$1:$E$504,L98),"hh:mm"),"")))</f>
        <v/>
      </c>
      <c r="C98" s="49">
        <f>IF(M98=0,"",IF(M98&lt;&gt;M97,INDEX(Escaleta!$F$1:$F$504,M98),IF(M98&lt;&gt;M96,TEXT(INDEX(Escaleta!$C$1:$C$504,M98),"hh:mm")&amp;"–"&amp;TEXT(INDEX(Escaleta!$E$1:$E$504,M98),"hh:mm"),"")))</f>
        <v/>
      </c>
      <c r="D98" s="49">
        <f>IF(N98=0,"",IF(N98&lt;&gt;N97,INDEX(Escaleta!$F$1:$F$504,N98),IF(N98&lt;&gt;N96,TEXT(INDEX(Escaleta!$C$1:$C$504,N98),"hh:mm")&amp;"–"&amp;TEXT(INDEX(Escaleta!$E$1:$E$504,N98),"hh:mm"),"")))</f>
        <v/>
      </c>
      <c r="E98" s="49">
        <f>IF(O98=0,"",IF(O98&lt;&gt;O97,INDEX(Escaleta!$F$1:$F$504,O98),IF(O98&lt;&gt;O96,TEXT(INDEX(Escaleta!$C$1:$C$504,O98),"hh:mm")&amp;"–"&amp;TEXT(INDEX(Escaleta!$E$1:$E$504,O98),"hh:mm"),"")))</f>
        <v/>
      </c>
      <c r="F98" s="49">
        <f>IF(P98=0,"",IF(P98&lt;&gt;P97,INDEX(Escaleta!$F$1:$F$504,P98),IF(P98&lt;&gt;P96,TEXT(INDEX(Escaleta!$C$1:$C$504,P98),"hh:mm")&amp;"–"&amp;TEXT(INDEX(Escaleta!$E$1:$E$504,P98),"hh:mm"),"")))</f>
        <v/>
      </c>
      <c r="G98" s="49">
        <f>IF(Q98=0,"",IF(Q98&lt;&gt;Q97,INDEX(Escaleta!$F$1:$F$504,Q98),IF(Q98&lt;&gt;Q96,TEXT(INDEX(Escaleta!$C$1:$C$504,Q98),"hh:mm")&amp;"–"&amp;TEXT(INDEX(Escaleta!$E$1:$E$504,Q98),"hh:mm"),"")))</f>
        <v/>
      </c>
      <c r="H98" s="49">
        <f>IF(R98=0,"",IF(R98&lt;&gt;R97,INDEX(Escaleta!$F$1:$F$504,R98),IF(R98&lt;&gt;R96,TEXT(INDEX(Escaleta!$C$1:$C$504,R98),"hh:mm")&amp;"–"&amp;TEXT(INDEX(Escaleta!$E$1:$E$504,R98),"hh:mm"),"")))</f>
        <v/>
      </c>
      <c r="I98" s="49">
        <f>IF(S98=0,"",IF(S98&lt;&gt;S97,INDEX(Escaleta!$F$1:$F$504,S98),IF(S98&lt;&gt;S96,TEXT(INDEX(Escaleta!$C$1:$C$504,S98),"hh:mm")&amp;"–"&amp;TEXT(INDEX(Escaleta!$E$1:$E$504,S98),"hh:mm"),"")))</f>
        <v/>
      </c>
      <c r="L98" s="50">
        <f>IF(OR($A98="",B$6=""),0,SUMPRODUCT(MAX((Escaleta!$A$5:$A$504=$B$4)*(Escaleta!$H$5:$H$504=B$6)*(Escaleta!$K$5:$K$504&lt;&gt;"Cancelada")*(Escaleta!$C$5:$C$504&lt;$A98+Configuración!$C$7/1440)*(Escaleta!$E$5:$E$504&gt;$A98)*ROW(Escaleta!$A$5:$A$504))))</f>
        <v/>
      </c>
      <c r="M98" s="50">
        <f>IF(OR($A98="",C$6=""),0,SUMPRODUCT(MAX((Escaleta!$A$5:$A$504=$B$4)*(Escaleta!$H$5:$H$504=C$6)*(Escaleta!$K$5:$K$504&lt;&gt;"Cancelada")*(Escaleta!$C$5:$C$504&lt;$A98+Configuración!$C$7/1440)*(Escaleta!$E$5:$E$504&gt;$A98)*ROW(Escaleta!$A$5:$A$504))))</f>
        <v/>
      </c>
      <c r="N98" s="50">
        <f>IF(OR($A98="",D$6=""),0,SUMPRODUCT(MAX((Escaleta!$A$5:$A$504=$B$4)*(Escaleta!$H$5:$H$504=D$6)*(Escaleta!$K$5:$K$504&lt;&gt;"Cancelada")*(Escaleta!$C$5:$C$504&lt;$A98+Configuración!$C$7/1440)*(Escaleta!$E$5:$E$504&gt;$A98)*ROW(Escaleta!$A$5:$A$504))))</f>
        <v/>
      </c>
      <c r="O98" s="50">
        <f>IF(OR($A98="",E$6=""),0,SUMPRODUCT(MAX((Escaleta!$A$5:$A$504=$B$4)*(Escaleta!$H$5:$H$504=E$6)*(Escaleta!$K$5:$K$504&lt;&gt;"Cancelada")*(Escaleta!$C$5:$C$504&lt;$A98+Configuración!$C$7/1440)*(Escaleta!$E$5:$E$504&gt;$A98)*ROW(Escaleta!$A$5:$A$504))))</f>
        <v/>
      </c>
      <c r="P98" s="50">
        <f>IF(OR($A98="",F$6=""),0,SUMPRODUCT(MAX((Escaleta!$A$5:$A$504=$B$4)*(Escaleta!$H$5:$H$504=F$6)*(Escaleta!$K$5:$K$504&lt;&gt;"Cancelada")*(Escaleta!$C$5:$C$504&lt;$A98+Configuración!$C$7/1440)*(Escaleta!$E$5:$E$504&gt;$A98)*ROW(Escaleta!$A$5:$A$504))))</f>
        <v/>
      </c>
      <c r="Q98" s="50">
        <f>IF(OR($A98="",G$6=""),0,SUMPRODUCT(MAX((Escaleta!$A$5:$A$504=$B$4)*(Escaleta!$H$5:$H$504=G$6)*(Escaleta!$K$5:$K$504&lt;&gt;"Cancelada")*(Escaleta!$C$5:$C$504&lt;$A98+Configuración!$C$7/1440)*(Escaleta!$E$5:$E$504&gt;$A98)*ROW(Escaleta!$A$5:$A$504))))</f>
        <v/>
      </c>
      <c r="R98" s="50">
        <f>IF(OR($A98="",H$6=""),0,SUMPRODUCT(MAX((Escaleta!$A$5:$A$504=$B$4)*(Escaleta!$H$5:$H$504=H$6)*(Escaleta!$K$5:$K$504&lt;&gt;"Cancelada")*(Escaleta!$C$5:$C$504&lt;$A98+Configuración!$C$7/1440)*(Escaleta!$E$5:$E$504&gt;$A98)*ROW(Escaleta!$A$5:$A$504))))</f>
        <v/>
      </c>
      <c r="S98" s="50">
        <f>IF(OR($A98="",I$6=""),0,SUMPRODUCT(MAX((Escaleta!$A$5:$A$504=$B$4)*(Escaleta!$H$5:$H$504=I$6)*(Escaleta!$K$5:$K$504&lt;&gt;"Cancelada")*(Escaleta!$C$5:$C$504&lt;$A98+Configuración!$C$7/1440)*(Escaleta!$E$5:$E$504&gt;$A98)*ROW(Escaleta!$A$5:$A$504))))</f>
        <v/>
      </c>
      <c r="U98" s="50">
        <f>IF(L98=0,"",INDEX(Escaleta!$I$1:$I$504,L98))</f>
        <v/>
      </c>
      <c r="V98" s="50">
        <f>IF(M98=0,"",INDEX(Escaleta!$I$1:$I$504,M98))</f>
        <v/>
      </c>
      <c r="W98" s="50">
        <f>IF(N98=0,"",INDEX(Escaleta!$I$1:$I$504,N98))</f>
        <v/>
      </c>
      <c r="X98" s="50">
        <f>IF(O98=0,"",INDEX(Escaleta!$I$1:$I$504,O98))</f>
        <v/>
      </c>
      <c r="Y98" s="50">
        <f>IF(P98=0,"",INDEX(Escaleta!$I$1:$I$504,P98))</f>
        <v/>
      </c>
      <c r="Z98" s="50">
        <f>IF(Q98=0,"",INDEX(Escaleta!$I$1:$I$504,Q98))</f>
        <v/>
      </c>
      <c r="AA98" s="50">
        <f>IF(R98=0,"",INDEX(Escaleta!$I$1:$I$504,R98))</f>
        <v/>
      </c>
      <c r="AB98" s="50">
        <f>IF(S98=0,"",INDEX(Escaleta!$I$1:$I$504,S98))</f>
        <v/>
      </c>
    </row>
    <row r="99" ht="18" customHeight="1">
      <c r="A99" s="48">
        <f>IF(A98="","",IF(A98+Configuración!$C$7/1440&gt;Configuración!$C$6-0.0001,"",A98+Configuración!$C$7/1440))</f>
        <v/>
      </c>
      <c r="B99" s="49">
        <f>IF(L99=0,"",IF(L99&lt;&gt;L98,INDEX(Escaleta!$F$1:$F$504,L99),IF(L99&lt;&gt;L97,TEXT(INDEX(Escaleta!$C$1:$C$504,L99),"hh:mm")&amp;"–"&amp;TEXT(INDEX(Escaleta!$E$1:$E$504,L99),"hh:mm"),"")))</f>
        <v/>
      </c>
      <c r="C99" s="49">
        <f>IF(M99=0,"",IF(M99&lt;&gt;M98,INDEX(Escaleta!$F$1:$F$504,M99),IF(M99&lt;&gt;M97,TEXT(INDEX(Escaleta!$C$1:$C$504,M99),"hh:mm")&amp;"–"&amp;TEXT(INDEX(Escaleta!$E$1:$E$504,M99),"hh:mm"),"")))</f>
        <v/>
      </c>
      <c r="D99" s="49">
        <f>IF(N99=0,"",IF(N99&lt;&gt;N98,INDEX(Escaleta!$F$1:$F$504,N99),IF(N99&lt;&gt;N97,TEXT(INDEX(Escaleta!$C$1:$C$504,N99),"hh:mm")&amp;"–"&amp;TEXT(INDEX(Escaleta!$E$1:$E$504,N99),"hh:mm"),"")))</f>
        <v/>
      </c>
      <c r="E99" s="49">
        <f>IF(O99=0,"",IF(O99&lt;&gt;O98,INDEX(Escaleta!$F$1:$F$504,O99),IF(O99&lt;&gt;O97,TEXT(INDEX(Escaleta!$C$1:$C$504,O99),"hh:mm")&amp;"–"&amp;TEXT(INDEX(Escaleta!$E$1:$E$504,O99),"hh:mm"),"")))</f>
        <v/>
      </c>
      <c r="F99" s="49">
        <f>IF(P99=0,"",IF(P99&lt;&gt;P98,INDEX(Escaleta!$F$1:$F$504,P99),IF(P99&lt;&gt;P97,TEXT(INDEX(Escaleta!$C$1:$C$504,P99),"hh:mm")&amp;"–"&amp;TEXT(INDEX(Escaleta!$E$1:$E$504,P99),"hh:mm"),"")))</f>
        <v/>
      </c>
      <c r="G99" s="49">
        <f>IF(Q99=0,"",IF(Q99&lt;&gt;Q98,INDEX(Escaleta!$F$1:$F$504,Q99),IF(Q99&lt;&gt;Q97,TEXT(INDEX(Escaleta!$C$1:$C$504,Q99),"hh:mm")&amp;"–"&amp;TEXT(INDEX(Escaleta!$E$1:$E$504,Q99),"hh:mm"),"")))</f>
        <v/>
      </c>
      <c r="H99" s="49">
        <f>IF(R99=0,"",IF(R99&lt;&gt;R98,INDEX(Escaleta!$F$1:$F$504,R99),IF(R99&lt;&gt;R97,TEXT(INDEX(Escaleta!$C$1:$C$504,R99),"hh:mm")&amp;"–"&amp;TEXT(INDEX(Escaleta!$E$1:$E$504,R99),"hh:mm"),"")))</f>
        <v/>
      </c>
      <c r="I99" s="49">
        <f>IF(S99=0,"",IF(S99&lt;&gt;S98,INDEX(Escaleta!$F$1:$F$504,S99),IF(S99&lt;&gt;S97,TEXT(INDEX(Escaleta!$C$1:$C$504,S99),"hh:mm")&amp;"–"&amp;TEXT(INDEX(Escaleta!$E$1:$E$504,S99),"hh:mm"),"")))</f>
        <v/>
      </c>
      <c r="L99" s="50">
        <f>IF(OR($A99="",B$6=""),0,SUMPRODUCT(MAX((Escaleta!$A$5:$A$504=$B$4)*(Escaleta!$H$5:$H$504=B$6)*(Escaleta!$K$5:$K$504&lt;&gt;"Cancelada")*(Escaleta!$C$5:$C$504&lt;$A99+Configuración!$C$7/1440)*(Escaleta!$E$5:$E$504&gt;$A99)*ROW(Escaleta!$A$5:$A$504))))</f>
        <v/>
      </c>
      <c r="M99" s="50">
        <f>IF(OR($A99="",C$6=""),0,SUMPRODUCT(MAX((Escaleta!$A$5:$A$504=$B$4)*(Escaleta!$H$5:$H$504=C$6)*(Escaleta!$K$5:$K$504&lt;&gt;"Cancelada")*(Escaleta!$C$5:$C$504&lt;$A99+Configuración!$C$7/1440)*(Escaleta!$E$5:$E$504&gt;$A99)*ROW(Escaleta!$A$5:$A$504))))</f>
        <v/>
      </c>
      <c r="N99" s="50">
        <f>IF(OR($A99="",D$6=""),0,SUMPRODUCT(MAX((Escaleta!$A$5:$A$504=$B$4)*(Escaleta!$H$5:$H$504=D$6)*(Escaleta!$K$5:$K$504&lt;&gt;"Cancelada")*(Escaleta!$C$5:$C$504&lt;$A99+Configuración!$C$7/1440)*(Escaleta!$E$5:$E$504&gt;$A99)*ROW(Escaleta!$A$5:$A$504))))</f>
        <v/>
      </c>
      <c r="O99" s="50">
        <f>IF(OR($A99="",E$6=""),0,SUMPRODUCT(MAX((Escaleta!$A$5:$A$504=$B$4)*(Escaleta!$H$5:$H$504=E$6)*(Escaleta!$K$5:$K$504&lt;&gt;"Cancelada")*(Escaleta!$C$5:$C$504&lt;$A99+Configuración!$C$7/1440)*(Escaleta!$E$5:$E$504&gt;$A99)*ROW(Escaleta!$A$5:$A$504))))</f>
        <v/>
      </c>
      <c r="P99" s="50">
        <f>IF(OR($A99="",F$6=""),0,SUMPRODUCT(MAX((Escaleta!$A$5:$A$504=$B$4)*(Escaleta!$H$5:$H$504=F$6)*(Escaleta!$K$5:$K$504&lt;&gt;"Cancelada")*(Escaleta!$C$5:$C$504&lt;$A99+Configuración!$C$7/1440)*(Escaleta!$E$5:$E$504&gt;$A99)*ROW(Escaleta!$A$5:$A$504))))</f>
        <v/>
      </c>
      <c r="Q99" s="50">
        <f>IF(OR($A99="",G$6=""),0,SUMPRODUCT(MAX((Escaleta!$A$5:$A$504=$B$4)*(Escaleta!$H$5:$H$504=G$6)*(Escaleta!$K$5:$K$504&lt;&gt;"Cancelada")*(Escaleta!$C$5:$C$504&lt;$A99+Configuración!$C$7/1440)*(Escaleta!$E$5:$E$504&gt;$A99)*ROW(Escaleta!$A$5:$A$504))))</f>
        <v/>
      </c>
      <c r="R99" s="50">
        <f>IF(OR($A99="",H$6=""),0,SUMPRODUCT(MAX((Escaleta!$A$5:$A$504=$B$4)*(Escaleta!$H$5:$H$504=H$6)*(Escaleta!$K$5:$K$504&lt;&gt;"Cancelada")*(Escaleta!$C$5:$C$504&lt;$A99+Configuración!$C$7/1440)*(Escaleta!$E$5:$E$504&gt;$A99)*ROW(Escaleta!$A$5:$A$504))))</f>
        <v/>
      </c>
      <c r="S99" s="50">
        <f>IF(OR($A99="",I$6=""),0,SUMPRODUCT(MAX((Escaleta!$A$5:$A$504=$B$4)*(Escaleta!$H$5:$H$504=I$6)*(Escaleta!$K$5:$K$504&lt;&gt;"Cancelada")*(Escaleta!$C$5:$C$504&lt;$A99+Configuración!$C$7/1440)*(Escaleta!$E$5:$E$504&gt;$A99)*ROW(Escaleta!$A$5:$A$504))))</f>
        <v/>
      </c>
      <c r="U99" s="50">
        <f>IF(L99=0,"",INDEX(Escaleta!$I$1:$I$504,L99))</f>
        <v/>
      </c>
      <c r="V99" s="50">
        <f>IF(M99=0,"",INDEX(Escaleta!$I$1:$I$504,M99))</f>
        <v/>
      </c>
      <c r="W99" s="50">
        <f>IF(N99=0,"",INDEX(Escaleta!$I$1:$I$504,N99))</f>
        <v/>
      </c>
      <c r="X99" s="50">
        <f>IF(O99=0,"",INDEX(Escaleta!$I$1:$I$504,O99))</f>
        <v/>
      </c>
      <c r="Y99" s="50">
        <f>IF(P99=0,"",INDEX(Escaleta!$I$1:$I$504,P99))</f>
        <v/>
      </c>
      <c r="Z99" s="50">
        <f>IF(Q99=0,"",INDEX(Escaleta!$I$1:$I$504,Q99))</f>
        <v/>
      </c>
      <c r="AA99" s="50">
        <f>IF(R99=0,"",INDEX(Escaleta!$I$1:$I$504,R99))</f>
        <v/>
      </c>
      <c r="AB99" s="50">
        <f>IF(S99=0,"",INDEX(Escaleta!$I$1:$I$504,S99))</f>
        <v/>
      </c>
    </row>
    <row r="100" ht="18" customHeight="1">
      <c r="A100" s="48">
        <f>IF(A99="","",IF(A99+Configuración!$C$7/1440&gt;Configuración!$C$6-0.0001,"",A99+Configuración!$C$7/1440))</f>
        <v/>
      </c>
      <c r="B100" s="49">
        <f>IF(L100=0,"",IF(L100&lt;&gt;L99,INDEX(Escaleta!$F$1:$F$504,L100),IF(L100&lt;&gt;L98,TEXT(INDEX(Escaleta!$C$1:$C$504,L100),"hh:mm")&amp;"–"&amp;TEXT(INDEX(Escaleta!$E$1:$E$504,L100),"hh:mm"),"")))</f>
        <v/>
      </c>
      <c r="C100" s="49">
        <f>IF(M100=0,"",IF(M100&lt;&gt;M99,INDEX(Escaleta!$F$1:$F$504,M100),IF(M100&lt;&gt;M98,TEXT(INDEX(Escaleta!$C$1:$C$504,M100),"hh:mm")&amp;"–"&amp;TEXT(INDEX(Escaleta!$E$1:$E$504,M100),"hh:mm"),"")))</f>
        <v/>
      </c>
      <c r="D100" s="49">
        <f>IF(N100=0,"",IF(N100&lt;&gt;N99,INDEX(Escaleta!$F$1:$F$504,N100),IF(N100&lt;&gt;N98,TEXT(INDEX(Escaleta!$C$1:$C$504,N100),"hh:mm")&amp;"–"&amp;TEXT(INDEX(Escaleta!$E$1:$E$504,N100),"hh:mm"),"")))</f>
        <v/>
      </c>
      <c r="E100" s="49">
        <f>IF(O100=0,"",IF(O100&lt;&gt;O99,INDEX(Escaleta!$F$1:$F$504,O100),IF(O100&lt;&gt;O98,TEXT(INDEX(Escaleta!$C$1:$C$504,O100),"hh:mm")&amp;"–"&amp;TEXT(INDEX(Escaleta!$E$1:$E$504,O100),"hh:mm"),"")))</f>
        <v/>
      </c>
      <c r="F100" s="49">
        <f>IF(P100=0,"",IF(P100&lt;&gt;P99,INDEX(Escaleta!$F$1:$F$504,P100),IF(P100&lt;&gt;P98,TEXT(INDEX(Escaleta!$C$1:$C$504,P100),"hh:mm")&amp;"–"&amp;TEXT(INDEX(Escaleta!$E$1:$E$504,P100),"hh:mm"),"")))</f>
        <v/>
      </c>
      <c r="G100" s="49">
        <f>IF(Q100=0,"",IF(Q100&lt;&gt;Q99,INDEX(Escaleta!$F$1:$F$504,Q100),IF(Q100&lt;&gt;Q98,TEXT(INDEX(Escaleta!$C$1:$C$504,Q100),"hh:mm")&amp;"–"&amp;TEXT(INDEX(Escaleta!$E$1:$E$504,Q100),"hh:mm"),"")))</f>
        <v/>
      </c>
      <c r="H100" s="49">
        <f>IF(R100=0,"",IF(R100&lt;&gt;R99,INDEX(Escaleta!$F$1:$F$504,R100),IF(R100&lt;&gt;R98,TEXT(INDEX(Escaleta!$C$1:$C$504,R100),"hh:mm")&amp;"–"&amp;TEXT(INDEX(Escaleta!$E$1:$E$504,R100),"hh:mm"),"")))</f>
        <v/>
      </c>
      <c r="I100" s="49">
        <f>IF(S100=0,"",IF(S100&lt;&gt;S99,INDEX(Escaleta!$F$1:$F$504,S100),IF(S100&lt;&gt;S98,TEXT(INDEX(Escaleta!$C$1:$C$504,S100),"hh:mm")&amp;"–"&amp;TEXT(INDEX(Escaleta!$E$1:$E$504,S100),"hh:mm"),"")))</f>
        <v/>
      </c>
      <c r="L100" s="50">
        <f>IF(OR($A100="",B$6=""),0,SUMPRODUCT(MAX((Escaleta!$A$5:$A$504=$B$4)*(Escaleta!$H$5:$H$504=B$6)*(Escaleta!$K$5:$K$504&lt;&gt;"Cancelada")*(Escaleta!$C$5:$C$504&lt;$A100+Configuración!$C$7/1440)*(Escaleta!$E$5:$E$504&gt;$A100)*ROW(Escaleta!$A$5:$A$504))))</f>
        <v/>
      </c>
      <c r="M100" s="50">
        <f>IF(OR($A100="",C$6=""),0,SUMPRODUCT(MAX((Escaleta!$A$5:$A$504=$B$4)*(Escaleta!$H$5:$H$504=C$6)*(Escaleta!$K$5:$K$504&lt;&gt;"Cancelada")*(Escaleta!$C$5:$C$504&lt;$A100+Configuración!$C$7/1440)*(Escaleta!$E$5:$E$504&gt;$A100)*ROW(Escaleta!$A$5:$A$504))))</f>
        <v/>
      </c>
      <c r="N100" s="50">
        <f>IF(OR($A100="",D$6=""),0,SUMPRODUCT(MAX((Escaleta!$A$5:$A$504=$B$4)*(Escaleta!$H$5:$H$504=D$6)*(Escaleta!$K$5:$K$504&lt;&gt;"Cancelada")*(Escaleta!$C$5:$C$504&lt;$A100+Configuración!$C$7/1440)*(Escaleta!$E$5:$E$504&gt;$A100)*ROW(Escaleta!$A$5:$A$504))))</f>
        <v/>
      </c>
      <c r="O100" s="50">
        <f>IF(OR($A100="",E$6=""),0,SUMPRODUCT(MAX((Escaleta!$A$5:$A$504=$B$4)*(Escaleta!$H$5:$H$504=E$6)*(Escaleta!$K$5:$K$504&lt;&gt;"Cancelada")*(Escaleta!$C$5:$C$504&lt;$A100+Configuración!$C$7/1440)*(Escaleta!$E$5:$E$504&gt;$A100)*ROW(Escaleta!$A$5:$A$504))))</f>
        <v/>
      </c>
      <c r="P100" s="50">
        <f>IF(OR($A100="",F$6=""),0,SUMPRODUCT(MAX((Escaleta!$A$5:$A$504=$B$4)*(Escaleta!$H$5:$H$504=F$6)*(Escaleta!$K$5:$K$504&lt;&gt;"Cancelada")*(Escaleta!$C$5:$C$504&lt;$A100+Configuración!$C$7/1440)*(Escaleta!$E$5:$E$504&gt;$A100)*ROW(Escaleta!$A$5:$A$504))))</f>
        <v/>
      </c>
      <c r="Q100" s="50">
        <f>IF(OR($A100="",G$6=""),0,SUMPRODUCT(MAX((Escaleta!$A$5:$A$504=$B$4)*(Escaleta!$H$5:$H$504=G$6)*(Escaleta!$K$5:$K$504&lt;&gt;"Cancelada")*(Escaleta!$C$5:$C$504&lt;$A100+Configuración!$C$7/1440)*(Escaleta!$E$5:$E$504&gt;$A100)*ROW(Escaleta!$A$5:$A$504))))</f>
        <v/>
      </c>
      <c r="R100" s="50">
        <f>IF(OR($A100="",H$6=""),0,SUMPRODUCT(MAX((Escaleta!$A$5:$A$504=$B$4)*(Escaleta!$H$5:$H$504=H$6)*(Escaleta!$K$5:$K$504&lt;&gt;"Cancelada")*(Escaleta!$C$5:$C$504&lt;$A100+Configuración!$C$7/1440)*(Escaleta!$E$5:$E$504&gt;$A100)*ROW(Escaleta!$A$5:$A$504))))</f>
        <v/>
      </c>
      <c r="S100" s="50">
        <f>IF(OR($A100="",I$6=""),0,SUMPRODUCT(MAX((Escaleta!$A$5:$A$504=$B$4)*(Escaleta!$H$5:$H$504=I$6)*(Escaleta!$K$5:$K$504&lt;&gt;"Cancelada")*(Escaleta!$C$5:$C$504&lt;$A100+Configuración!$C$7/1440)*(Escaleta!$E$5:$E$504&gt;$A100)*ROW(Escaleta!$A$5:$A$504))))</f>
        <v/>
      </c>
      <c r="U100" s="50">
        <f>IF(L100=0,"",INDEX(Escaleta!$I$1:$I$504,L100))</f>
        <v/>
      </c>
      <c r="V100" s="50">
        <f>IF(M100=0,"",INDEX(Escaleta!$I$1:$I$504,M100))</f>
        <v/>
      </c>
      <c r="W100" s="50">
        <f>IF(N100=0,"",INDEX(Escaleta!$I$1:$I$504,N100))</f>
        <v/>
      </c>
      <c r="X100" s="50">
        <f>IF(O100=0,"",INDEX(Escaleta!$I$1:$I$504,O100))</f>
        <v/>
      </c>
      <c r="Y100" s="50">
        <f>IF(P100=0,"",INDEX(Escaleta!$I$1:$I$504,P100))</f>
        <v/>
      </c>
      <c r="Z100" s="50">
        <f>IF(Q100=0,"",INDEX(Escaleta!$I$1:$I$504,Q100))</f>
        <v/>
      </c>
      <c r="AA100" s="50">
        <f>IF(R100=0,"",INDEX(Escaleta!$I$1:$I$504,R100))</f>
        <v/>
      </c>
      <c r="AB100" s="50">
        <f>IF(S100=0,"",INDEX(Escaleta!$I$1:$I$504,S100))</f>
        <v/>
      </c>
    </row>
    <row r="101" ht="18" customHeight="1">
      <c r="A101" s="48">
        <f>IF(A100="","",IF(A100+Configuración!$C$7/1440&gt;Configuración!$C$6-0.0001,"",A100+Configuración!$C$7/1440))</f>
        <v/>
      </c>
      <c r="B101" s="49">
        <f>IF(L101=0,"",IF(L101&lt;&gt;L100,INDEX(Escaleta!$F$1:$F$504,L101),IF(L101&lt;&gt;L99,TEXT(INDEX(Escaleta!$C$1:$C$504,L101),"hh:mm")&amp;"–"&amp;TEXT(INDEX(Escaleta!$E$1:$E$504,L101),"hh:mm"),"")))</f>
        <v/>
      </c>
      <c r="C101" s="49">
        <f>IF(M101=0,"",IF(M101&lt;&gt;M100,INDEX(Escaleta!$F$1:$F$504,M101),IF(M101&lt;&gt;M99,TEXT(INDEX(Escaleta!$C$1:$C$504,M101),"hh:mm")&amp;"–"&amp;TEXT(INDEX(Escaleta!$E$1:$E$504,M101),"hh:mm"),"")))</f>
        <v/>
      </c>
      <c r="D101" s="49">
        <f>IF(N101=0,"",IF(N101&lt;&gt;N100,INDEX(Escaleta!$F$1:$F$504,N101),IF(N101&lt;&gt;N99,TEXT(INDEX(Escaleta!$C$1:$C$504,N101),"hh:mm")&amp;"–"&amp;TEXT(INDEX(Escaleta!$E$1:$E$504,N101),"hh:mm"),"")))</f>
        <v/>
      </c>
      <c r="E101" s="49">
        <f>IF(O101=0,"",IF(O101&lt;&gt;O100,INDEX(Escaleta!$F$1:$F$504,O101),IF(O101&lt;&gt;O99,TEXT(INDEX(Escaleta!$C$1:$C$504,O101),"hh:mm")&amp;"–"&amp;TEXT(INDEX(Escaleta!$E$1:$E$504,O101),"hh:mm"),"")))</f>
        <v/>
      </c>
      <c r="F101" s="49">
        <f>IF(P101=0,"",IF(P101&lt;&gt;P100,INDEX(Escaleta!$F$1:$F$504,P101),IF(P101&lt;&gt;P99,TEXT(INDEX(Escaleta!$C$1:$C$504,P101),"hh:mm")&amp;"–"&amp;TEXT(INDEX(Escaleta!$E$1:$E$504,P101),"hh:mm"),"")))</f>
        <v/>
      </c>
      <c r="G101" s="49">
        <f>IF(Q101=0,"",IF(Q101&lt;&gt;Q100,INDEX(Escaleta!$F$1:$F$504,Q101),IF(Q101&lt;&gt;Q99,TEXT(INDEX(Escaleta!$C$1:$C$504,Q101),"hh:mm")&amp;"–"&amp;TEXT(INDEX(Escaleta!$E$1:$E$504,Q101),"hh:mm"),"")))</f>
        <v/>
      </c>
      <c r="H101" s="49">
        <f>IF(R101=0,"",IF(R101&lt;&gt;R100,INDEX(Escaleta!$F$1:$F$504,R101),IF(R101&lt;&gt;R99,TEXT(INDEX(Escaleta!$C$1:$C$504,R101),"hh:mm")&amp;"–"&amp;TEXT(INDEX(Escaleta!$E$1:$E$504,R101),"hh:mm"),"")))</f>
        <v/>
      </c>
      <c r="I101" s="49">
        <f>IF(S101=0,"",IF(S101&lt;&gt;S100,INDEX(Escaleta!$F$1:$F$504,S101),IF(S101&lt;&gt;S99,TEXT(INDEX(Escaleta!$C$1:$C$504,S101),"hh:mm")&amp;"–"&amp;TEXT(INDEX(Escaleta!$E$1:$E$504,S101),"hh:mm"),"")))</f>
        <v/>
      </c>
      <c r="L101" s="50">
        <f>IF(OR($A101="",B$6=""),0,SUMPRODUCT(MAX((Escaleta!$A$5:$A$504=$B$4)*(Escaleta!$H$5:$H$504=B$6)*(Escaleta!$K$5:$K$504&lt;&gt;"Cancelada")*(Escaleta!$C$5:$C$504&lt;$A101+Configuración!$C$7/1440)*(Escaleta!$E$5:$E$504&gt;$A101)*ROW(Escaleta!$A$5:$A$504))))</f>
        <v/>
      </c>
      <c r="M101" s="50">
        <f>IF(OR($A101="",C$6=""),0,SUMPRODUCT(MAX((Escaleta!$A$5:$A$504=$B$4)*(Escaleta!$H$5:$H$504=C$6)*(Escaleta!$K$5:$K$504&lt;&gt;"Cancelada")*(Escaleta!$C$5:$C$504&lt;$A101+Configuración!$C$7/1440)*(Escaleta!$E$5:$E$504&gt;$A101)*ROW(Escaleta!$A$5:$A$504))))</f>
        <v/>
      </c>
      <c r="N101" s="50">
        <f>IF(OR($A101="",D$6=""),0,SUMPRODUCT(MAX((Escaleta!$A$5:$A$504=$B$4)*(Escaleta!$H$5:$H$504=D$6)*(Escaleta!$K$5:$K$504&lt;&gt;"Cancelada")*(Escaleta!$C$5:$C$504&lt;$A101+Configuración!$C$7/1440)*(Escaleta!$E$5:$E$504&gt;$A101)*ROW(Escaleta!$A$5:$A$504))))</f>
        <v/>
      </c>
      <c r="O101" s="50">
        <f>IF(OR($A101="",E$6=""),0,SUMPRODUCT(MAX((Escaleta!$A$5:$A$504=$B$4)*(Escaleta!$H$5:$H$504=E$6)*(Escaleta!$K$5:$K$504&lt;&gt;"Cancelada")*(Escaleta!$C$5:$C$504&lt;$A101+Configuración!$C$7/1440)*(Escaleta!$E$5:$E$504&gt;$A101)*ROW(Escaleta!$A$5:$A$504))))</f>
        <v/>
      </c>
      <c r="P101" s="50">
        <f>IF(OR($A101="",F$6=""),0,SUMPRODUCT(MAX((Escaleta!$A$5:$A$504=$B$4)*(Escaleta!$H$5:$H$504=F$6)*(Escaleta!$K$5:$K$504&lt;&gt;"Cancelada")*(Escaleta!$C$5:$C$504&lt;$A101+Configuración!$C$7/1440)*(Escaleta!$E$5:$E$504&gt;$A101)*ROW(Escaleta!$A$5:$A$504))))</f>
        <v/>
      </c>
      <c r="Q101" s="50">
        <f>IF(OR($A101="",G$6=""),0,SUMPRODUCT(MAX((Escaleta!$A$5:$A$504=$B$4)*(Escaleta!$H$5:$H$504=G$6)*(Escaleta!$K$5:$K$504&lt;&gt;"Cancelada")*(Escaleta!$C$5:$C$504&lt;$A101+Configuración!$C$7/1440)*(Escaleta!$E$5:$E$504&gt;$A101)*ROW(Escaleta!$A$5:$A$504))))</f>
        <v/>
      </c>
      <c r="R101" s="50">
        <f>IF(OR($A101="",H$6=""),0,SUMPRODUCT(MAX((Escaleta!$A$5:$A$504=$B$4)*(Escaleta!$H$5:$H$504=H$6)*(Escaleta!$K$5:$K$504&lt;&gt;"Cancelada")*(Escaleta!$C$5:$C$504&lt;$A101+Configuración!$C$7/1440)*(Escaleta!$E$5:$E$504&gt;$A101)*ROW(Escaleta!$A$5:$A$504))))</f>
        <v/>
      </c>
      <c r="S101" s="50">
        <f>IF(OR($A101="",I$6=""),0,SUMPRODUCT(MAX((Escaleta!$A$5:$A$504=$B$4)*(Escaleta!$H$5:$H$504=I$6)*(Escaleta!$K$5:$K$504&lt;&gt;"Cancelada")*(Escaleta!$C$5:$C$504&lt;$A101+Configuración!$C$7/1440)*(Escaleta!$E$5:$E$504&gt;$A101)*ROW(Escaleta!$A$5:$A$504))))</f>
        <v/>
      </c>
      <c r="U101" s="50">
        <f>IF(L101=0,"",INDEX(Escaleta!$I$1:$I$504,L101))</f>
        <v/>
      </c>
      <c r="V101" s="50">
        <f>IF(M101=0,"",INDEX(Escaleta!$I$1:$I$504,M101))</f>
        <v/>
      </c>
      <c r="W101" s="50">
        <f>IF(N101=0,"",INDEX(Escaleta!$I$1:$I$504,N101))</f>
        <v/>
      </c>
      <c r="X101" s="50">
        <f>IF(O101=0,"",INDEX(Escaleta!$I$1:$I$504,O101))</f>
        <v/>
      </c>
      <c r="Y101" s="50">
        <f>IF(P101=0,"",INDEX(Escaleta!$I$1:$I$504,P101))</f>
        <v/>
      </c>
      <c r="Z101" s="50">
        <f>IF(Q101=0,"",INDEX(Escaleta!$I$1:$I$504,Q101))</f>
        <v/>
      </c>
      <c r="AA101" s="50">
        <f>IF(R101=0,"",INDEX(Escaleta!$I$1:$I$504,R101))</f>
        <v/>
      </c>
      <c r="AB101" s="50">
        <f>IF(S101=0,"",INDEX(Escaleta!$I$1:$I$504,S101))</f>
        <v/>
      </c>
    </row>
    <row r="102" ht="18" customHeight="1">
      <c r="A102" s="48">
        <f>IF(A101="","",IF(A101+Configuración!$C$7/1440&gt;Configuración!$C$6-0.0001,"",A101+Configuración!$C$7/1440))</f>
        <v/>
      </c>
      <c r="B102" s="49">
        <f>IF(L102=0,"",IF(L102&lt;&gt;L101,INDEX(Escaleta!$F$1:$F$504,L102),IF(L102&lt;&gt;L100,TEXT(INDEX(Escaleta!$C$1:$C$504,L102),"hh:mm")&amp;"–"&amp;TEXT(INDEX(Escaleta!$E$1:$E$504,L102),"hh:mm"),"")))</f>
        <v/>
      </c>
      <c r="C102" s="49">
        <f>IF(M102=0,"",IF(M102&lt;&gt;M101,INDEX(Escaleta!$F$1:$F$504,M102),IF(M102&lt;&gt;M100,TEXT(INDEX(Escaleta!$C$1:$C$504,M102),"hh:mm")&amp;"–"&amp;TEXT(INDEX(Escaleta!$E$1:$E$504,M102),"hh:mm"),"")))</f>
        <v/>
      </c>
      <c r="D102" s="49">
        <f>IF(N102=0,"",IF(N102&lt;&gt;N101,INDEX(Escaleta!$F$1:$F$504,N102),IF(N102&lt;&gt;N100,TEXT(INDEX(Escaleta!$C$1:$C$504,N102),"hh:mm")&amp;"–"&amp;TEXT(INDEX(Escaleta!$E$1:$E$504,N102),"hh:mm"),"")))</f>
        <v/>
      </c>
      <c r="E102" s="49">
        <f>IF(O102=0,"",IF(O102&lt;&gt;O101,INDEX(Escaleta!$F$1:$F$504,O102),IF(O102&lt;&gt;O100,TEXT(INDEX(Escaleta!$C$1:$C$504,O102),"hh:mm")&amp;"–"&amp;TEXT(INDEX(Escaleta!$E$1:$E$504,O102),"hh:mm"),"")))</f>
        <v/>
      </c>
      <c r="F102" s="49">
        <f>IF(P102=0,"",IF(P102&lt;&gt;P101,INDEX(Escaleta!$F$1:$F$504,P102),IF(P102&lt;&gt;P100,TEXT(INDEX(Escaleta!$C$1:$C$504,P102),"hh:mm")&amp;"–"&amp;TEXT(INDEX(Escaleta!$E$1:$E$504,P102),"hh:mm"),"")))</f>
        <v/>
      </c>
      <c r="G102" s="49">
        <f>IF(Q102=0,"",IF(Q102&lt;&gt;Q101,INDEX(Escaleta!$F$1:$F$504,Q102),IF(Q102&lt;&gt;Q100,TEXT(INDEX(Escaleta!$C$1:$C$504,Q102),"hh:mm")&amp;"–"&amp;TEXT(INDEX(Escaleta!$E$1:$E$504,Q102),"hh:mm"),"")))</f>
        <v/>
      </c>
      <c r="H102" s="49">
        <f>IF(R102=0,"",IF(R102&lt;&gt;R101,INDEX(Escaleta!$F$1:$F$504,R102),IF(R102&lt;&gt;R100,TEXT(INDEX(Escaleta!$C$1:$C$504,R102),"hh:mm")&amp;"–"&amp;TEXT(INDEX(Escaleta!$E$1:$E$504,R102),"hh:mm"),"")))</f>
        <v/>
      </c>
      <c r="I102" s="49">
        <f>IF(S102=0,"",IF(S102&lt;&gt;S101,INDEX(Escaleta!$F$1:$F$504,S102),IF(S102&lt;&gt;S100,TEXT(INDEX(Escaleta!$C$1:$C$504,S102),"hh:mm")&amp;"–"&amp;TEXT(INDEX(Escaleta!$E$1:$E$504,S102),"hh:mm"),"")))</f>
        <v/>
      </c>
      <c r="L102" s="50">
        <f>IF(OR($A102="",B$6=""),0,SUMPRODUCT(MAX((Escaleta!$A$5:$A$504=$B$4)*(Escaleta!$H$5:$H$504=B$6)*(Escaleta!$K$5:$K$504&lt;&gt;"Cancelada")*(Escaleta!$C$5:$C$504&lt;$A102+Configuración!$C$7/1440)*(Escaleta!$E$5:$E$504&gt;$A102)*ROW(Escaleta!$A$5:$A$504))))</f>
        <v/>
      </c>
      <c r="M102" s="50">
        <f>IF(OR($A102="",C$6=""),0,SUMPRODUCT(MAX((Escaleta!$A$5:$A$504=$B$4)*(Escaleta!$H$5:$H$504=C$6)*(Escaleta!$K$5:$K$504&lt;&gt;"Cancelada")*(Escaleta!$C$5:$C$504&lt;$A102+Configuración!$C$7/1440)*(Escaleta!$E$5:$E$504&gt;$A102)*ROW(Escaleta!$A$5:$A$504))))</f>
        <v/>
      </c>
      <c r="N102" s="50">
        <f>IF(OR($A102="",D$6=""),0,SUMPRODUCT(MAX((Escaleta!$A$5:$A$504=$B$4)*(Escaleta!$H$5:$H$504=D$6)*(Escaleta!$K$5:$K$504&lt;&gt;"Cancelada")*(Escaleta!$C$5:$C$504&lt;$A102+Configuración!$C$7/1440)*(Escaleta!$E$5:$E$504&gt;$A102)*ROW(Escaleta!$A$5:$A$504))))</f>
        <v/>
      </c>
      <c r="O102" s="50">
        <f>IF(OR($A102="",E$6=""),0,SUMPRODUCT(MAX((Escaleta!$A$5:$A$504=$B$4)*(Escaleta!$H$5:$H$504=E$6)*(Escaleta!$K$5:$K$504&lt;&gt;"Cancelada")*(Escaleta!$C$5:$C$504&lt;$A102+Configuración!$C$7/1440)*(Escaleta!$E$5:$E$504&gt;$A102)*ROW(Escaleta!$A$5:$A$504))))</f>
        <v/>
      </c>
      <c r="P102" s="50">
        <f>IF(OR($A102="",F$6=""),0,SUMPRODUCT(MAX((Escaleta!$A$5:$A$504=$B$4)*(Escaleta!$H$5:$H$504=F$6)*(Escaleta!$K$5:$K$504&lt;&gt;"Cancelada")*(Escaleta!$C$5:$C$504&lt;$A102+Configuración!$C$7/1440)*(Escaleta!$E$5:$E$504&gt;$A102)*ROW(Escaleta!$A$5:$A$504))))</f>
        <v/>
      </c>
      <c r="Q102" s="50">
        <f>IF(OR($A102="",G$6=""),0,SUMPRODUCT(MAX((Escaleta!$A$5:$A$504=$B$4)*(Escaleta!$H$5:$H$504=G$6)*(Escaleta!$K$5:$K$504&lt;&gt;"Cancelada")*(Escaleta!$C$5:$C$504&lt;$A102+Configuración!$C$7/1440)*(Escaleta!$E$5:$E$504&gt;$A102)*ROW(Escaleta!$A$5:$A$504))))</f>
        <v/>
      </c>
      <c r="R102" s="50">
        <f>IF(OR($A102="",H$6=""),0,SUMPRODUCT(MAX((Escaleta!$A$5:$A$504=$B$4)*(Escaleta!$H$5:$H$504=H$6)*(Escaleta!$K$5:$K$504&lt;&gt;"Cancelada")*(Escaleta!$C$5:$C$504&lt;$A102+Configuración!$C$7/1440)*(Escaleta!$E$5:$E$504&gt;$A102)*ROW(Escaleta!$A$5:$A$504))))</f>
        <v/>
      </c>
      <c r="S102" s="50">
        <f>IF(OR($A102="",I$6=""),0,SUMPRODUCT(MAX((Escaleta!$A$5:$A$504=$B$4)*(Escaleta!$H$5:$H$504=I$6)*(Escaleta!$K$5:$K$504&lt;&gt;"Cancelada")*(Escaleta!$C$5:$C$504&lt;$A102+Configuración!$C$7/1440)*(Escaleta!$E$5:$E$504&gt;$A102)*ROW(Escaleta!$A$5:$A$504))))</f>
        <v/>
      </c>
      <c r="U102" s="50">
        <f>IF(L102=0,"",INDEX(Escaleta!$I$1:$I$504,L102))</f>
        <v/>
      </c>
      <c r="V102" s="50">
        <f>IF(M102=0,"",INDEX(Escaleta!$I$1:$I$504,M102))</f>
        <v/>
      </c>
      <c r="W102" s="50">
        <f>IF(N102=0,"",INDEX(Escaleta!$I$1:$I$504,N102))</f>
        <v/>
      </c>
      <c r="X102" s="50">
        <f>IF(O102=0,"",INDEX(Escaleta!$I$1:$I$504,O102))</f>
        <v/>
      </c>
      <c r="Y102" s="50">
        <f>IF(P102=0,"",INDEX(Escaleta!$I$1:$I$504,P102))</f>
        <v/>
      </c>
      <c r="Z102" s="50">
        <f>IF(Q102=0,"",INDEX(Escaleta!$I$1:$I$504,Q102))</f>
        <v/>
      </c>
      <c r="AA102" s="50">
        <f>IF(R102=0,"",INDEX(Escaleta!$I$1:$I$504,R102))</f>
        <v/>
      </c>
      <c r="AB102" s="50">
        <f>IF(S102=0,"",INDEX(Escaleta!$I$1:$I$504,S102))</f>
        <v/>
      </c>
    </row>
    <row r="103" ht="18" customHeight="1">
      <c r="A103" s="48">
        <f>IF(A102="","",IF(A102+Configuración!$C$7/1440&gt;Configuración!$C$6-0.0001,"",A102+Configuración!$C$7/1440))</f>
        <v/>
      </c>
      <c r="B103" s="49">
        <f>IF(L103=0,"",IF(L103&lt;&gt;L102,INDEX(Escaleta!$F$1:$F$504,L103),IF(L103&lt;&gt;L101,TEXT(INDEX(Escaleta!$C$1:$C$504,L103),"hh:mm")&amp;"–"&amp;TEXT(INDEX(Escaleta!$E$1:$E$504,L103),"hh:mm"),"")))</f>
        <v/>
      </c>
      <c r="C103" s="49">
        <f>IF(M103=0,"",IF(M103&lt;&gt;M102,INDEX(Escaleta!$F$1:$F$504,M103),IF(M103&lt;&gt;M101,TEXT(INDEX(Escaleta!$C$1:$C$504,M103),"hh:mm")&amp;"–"&amp;TEXT(INDEX(Escaleta!$E$1:$E$504,M103),"hh:mm"),"")))</f>
        <v/>
      </c>
      <c r="D103" s="49">
        <f>IF(N103=0,"",IF(N103&lt;&gt;N102,INDEX(Escaleta!$F$1:$F$504,N103),IF(N103&lt;&gt;N101,TEXT(INDEX(Escaleta!$C$1:$C$504,N103),"hh:mm")&amp;"–"&amp;TEXT(INDEX(Escaleta!$E$1:$E$504,N103),"hh:mm"),"")))</f>
        <v/>
      </c>
      <c r="E103" s="49">
        <f>IF(O103=0,"",IF(O103&lt;&gt;O102,INDEX(Escaleta!$F$1:$F$504,O103),IF(O103&lt;&gt;O101,TEXT(INDEX(Escaleta!$C$1:$C$504,O103),"hh:mm")&amp;"–"&amp;TEXT(INDEX(Escaleta!$E$1:$E$504,O103),"hh:mm"),"")))</f>
        <v/>
      </c>
      <c r="F103" s="49">
        <f>IF(P103=0,"",IF(P103&lt;&gt;P102,INDEX(Escaleta!$F$1:$F$504,P103),IF(P103&lt;&gt;P101,TEXT(INDEX(Escaleta!$C$1:$C$504,P103),"hh:mm")&amp;"–"&amp;TEXT(INDEX(Escaleta!$E$1:$E$504,P103),"hh:mm"),"")))</f>
        <v/>
      </c>
      <c r="G103" s="49">
        <f>IF(Q103=0,"",IF(Q103&lt;&gt;Q102,INDEX(Escaleta!$F$1:$F$504,Q103),IF(Q103&lt;&gt;Q101,TEXT(INDEX(Escaleta!$C$1:$C$504,Q103),"hh:mm")&amp;"–"&amp;TEXT(INDEX(Escaleta!$E$1:$E$504,Q103),"hh:mm"),"")))</f>
        <v/>
      </c>
      <c r="H103" s="49">
        <f>IF(R103=0,"",IF(R103&lt;&gt;R102,INDEX(Escaleta!$F$1:$F$504,R103),IF(R103&lt;&gt;R101,TEXT(INDEX(Escaleta!$C$1:$C$504,R103),"hh:mm")&amp;"–"&amp;TEXT(INDEX(Escaleta!$E$1:$E$504,R103),"hh:mm"),"")))</f>
        <v/>
      </c>
      <c r="I103" s="49">
        <f>IF(S103=0,"",IF(S103&lt;&gt;S102,INDEX(Escaleta!$F$1:$F$504,S103),IF(S103&lt;&gt;S101,TEXT(INDEX(Escaleta!$C$1:$C$504,S103),"hh:mm")&amp;"–"&amp;TEXT(INDEX(Escaleta!$E$1:$E$504,S103),"hh:mm"),"")))</f>
        <v/>
      </c>
      <c r="L103" s="50">
        <f>IF(OR($A103="",B$6=""),0,SUMPRODUCT(MAX((Escaleta!$A$5:$A$504=$B$4)*(Escaleta!$H$5:$H$504=B$6)*(Escaleta!$K$5:$K$504&lt;&gt;"Cancelada")*(Escaleta!$C$5:$C$504&lt;$A103+Configuración!$C$7/1440)*(Escaleta!$E$5:$E$504&gt;$A103)*ROW(Escaleta!$A$5:$A$504))))</f>
        <v/>
      </c>
      <c r="M103" s="50">
        <f>IF(OR($A103="",C$6=""),0,SUMPRODUCT(MAX((Escaleta!$A$5:$A$504=$B$4)*(Escaleta!$H$5:$H$504=C$6)*(Escaleta!$K$5:$K$504&lt;&gt;"Cancelada")*(Escaleta!$C$5:$C$504&lt;$A103+Configuración!$C$7/1440)*(Escaleta!$E$5:$E$504&gt;$A103)*ROW(Escaleta!$A$5:$A$504))))</f>
        <v/>
      </c>
      <c r="N103" s="50">
        <f>IF(OR($A103="",D$6=""),0,SUMPRODUCT(MAX((Escaleta!$A$5:$A$504=$B$4)*(Escaleta!$H$5:$H$504=D$6)*(Escaleta!$K$5:$K$504&lt;&gt;"Cancelada")*(Escaleta!$C$5:$C$504&lt;$A103+Configuración!$C$7/1440)*(Escaleta!$E$5:$E$504&gt;$A103)*ROW(Escaleta!$A$5:$A$504))))</f>
        <v/>
      </c>
      <c r="O103" s="50">
        <f>IF(OR($A103="",E$6=""),0,SUMPRODUCT(MAX((Escaleta!$A$5:$A$504=$B$4)*(Escaleta!$H$5:$H$504=E$6)*(Escaleta!$K$5:$K$504&lt;&gt;"Cancelada")*(Escaleta!$C$5:$C$504&lt;$A103+Configuración!$C$7/1440)*(Escaleta!$E$5:$E$504&gt;$A103)*ROW(Escaleta!$A$5:$A$504))))</f>
        <v/>
      </c>
      <c r="P103" s="50">
        <f>IF(OR($A103="",F$6=""),0,SUMPRODUCT(MAX((Escaleta!$A$5:$A$504=$B$4)*(Escaleta!$H$5:$H$504=F$6)*(Escaleta!$K$5:$K$504&lt;&gt;"Cancelada")*(Escaleta!$C$5:$C$504&lt;$A103+Configuración!$C$7/1440)*(Escaleta!$E$5:$E$504&gt;$A103)*ROW(Escaleta!$A$5:$A$504))))</f>
        <v/>
      </c>
      <c r="Q103" s="50">
        <f>IF(OR($A103="",G$6=""),0,SUMPRODUCT(MAX((Escaleta!$A$5:$A$504=$B$4)*(Escaleta!$H$5:$H$504=G$6)*(Escaleta!$K$5:$K$504&lt;&gt;"Cancelada")*(Escaleta!$C$5:$C$504&lt;$A103+Configuración!$C$7/1440)*(Escaleta!$E$5:$E$504&gt;$A103)*ROW(Escaleta!$A$5:$A$504))))</f>
        <v/>
      </c>
      <c r="R103" s="50">
        <f>IF(OR($A103="",H$6=""),0,SUMPRODUCT(MAX((Escaleta!$A$5:$A$504=$B$4)*(Escaleta!$H$5:$H$504=H$6)*(Escaleta!$K$5:$K$504&lt;&gt;"Cancelada")*(Escaleta!$C$5:$C$504&lt;$A103+Configuración!$C$7/1440)*(Escaleta!$E$5:$E$504&gt;$A103)*ROW(Escaleta!$A$5:$A$504))))</f>
        <v/>
      </c>
      <c r="S103" s="50">
        <f>IF(OR($A103="",I$6=""),0,SUMPRODUCT(MAX((Escaleta!$A$5:$A$504=$B$4)*(Escaleta!$H$5:$H$504=I$6)*(Escaleta!$K$5:$K$504&lt;&gt;"Cancelada")*(Escaleta!$C$5:$C$504&lt;$A103+Configuración!$C$7/1440)*(Escaleta!$E$5:$E$504&gt;$A103)*ROW(Escaleta!$A$5:$A$504))))</f>
        <v/>
      </c>
      <c r="U103" s="50">
        <f>IF(L103=0,"",INDEX(Escaleta!$I$1:$I$504,L103))</f>
        <v/>
      </c>
      <c r="V103" s="50">
        <f>IF(M103=0,"",INDEX(Escaleta!$I$1:$I$504,M103))</f>
        <v/>
      </c>
      <c r="W103" s="50">
        <f>IF(N103=0,"",INDEX(Escaleta!$I$1:$I$504,N103))</f>
        <v/>
      </c>
      <c r="X103" s="50">
        <f>IF(O103=0,"",INDEX(Escaleta!$I$1:$I$504,O103))</f>
        <v/>
      </c>
      <c r="Y103" s="50">
        <f>IF(P103=0,"",INDEX(Escaleta!$I$1:$I$504,P103))</f>
        <v/>
      </c>
      <c r="Z103" s="50">
        <f>IF(Q103=0,"",INDEX(Escaleta!$I$1:$I$504,Q103))</f>
        <v/>
      </c>
      <c r="AA103" s="50">
        <f>IF(R103=0,"",INDEX(Escaleta!$I$1:$I$504,R103))</f>
        <v/>
      </c>
      <c r="AB103" s="50">
        <f>IF(S103=0,"",INDEX(Escaleta!$I$1:$I$504,S103))</f>
        <v/>
      </c>
    </row>
    <row r="104" ht="18" customHeight="1">
      <c r="A104" s="48">
        <f>IF(A103="","",IF(A103+Configuración!$C$7/1440&gt;Configuración!$C$6-0.0001,"",A103+Configuración!$C$7/1440))</f>
        <v/>
      </c>
      <c r="B104" s="49">
        <f>IF(L104=0,"",IF(L104&lt;&gt;L103,INDEX(Escaleta!$F$1:$F$504,L104),IF(L104&lt;&gt;L102,TEXT(INDEX(Escaleta!$C$1:$C$504,L104),"hh:mm")&amp;"–"&amp;TEXT(INDEX(Escaleta!$E$1:$E$504,L104),"hh:mm"),"")))</f>
        <v/>
      </c>
      <c r="C104" s="49">
        <f>IF(M104=0,"",IF(M104&lt;&gt;M103,INDEX(Escaleta!$F$1:$F$504,M104),IF(M104&lt;&gt;M102,TEXT(INDEX(Escaleta!$C$1:$C$504,M104),"hh:mm")&amp;"–"&amp;TEXT(INDEX(Escaleta!$E$1:$E$504,M104),"hh:mm"),"")))</f>
        <v/>
      </c>
      <c r="D104" s="49">
        <f>IF(N104=0,"",IF(N104&lt;&gt;N103,INDEX(Escaleta!$F$1:$F$504,N104),IF(N104&lt;&gt;N102,TEXT(INDEX(Escaleta!$C$1:$C$504,N104),"hh:mm")&amp;"–"&amp;TEXT(INDEX(Escaleta!$E$1:$E$504,N104),"hh:mm"),"")))</f>
        <v/>
      </c>
      <c r="E104" s="49">
        <f>IF(O104=0,"",IF(O104&lt;&gt;O103,INDEX(Escaleta!$F$1:$F$504,O104),IF(O104&lt;&gt;O102,TEXT(INDEX(Escaleta!$C$1:$C$504,O104),"hh:mm")&amp;"–"&amp;TEXT(INDEX(Escaleta!$E$1:$E$504,O104),"hh:mm"),"")))</f>
        <v/>
      </c>
      <c r="F104" s="49">
        <f>IF(P104=0,"",IF(P104&lt;&gt;P103,INDEX(Escaleta!$F$1:$F$504,P104),IF(P104&lt;&gt;P102,TEXT(INDEX(Escaleta!$C$1:$C$504,P104),"hh:mm")&amp;"–"&amp;TEXT(INDEX(Escaleta!$E$1:$E$504,P104),"hh:mm"),"")))</f>
        <v/>
      </c>
      <c r="G104" s="49">
        <f>IF(Q104=0,"",IF(Q104&lt;&gt;Q103,INDEX(Escaleta!$F$1:$F$504,Q104),IF(Q104&lt;&gt;Q102,TEXT(INDEX(Escaleta!$C$1:$C$504,Q104),"hh:mm")&amp;"–"&amp;TEXT(INDEX(Escaleta!$E$1:$E$504,Q104),"hh:mm"),"")))</f>
        <v/>
      </c>
      <c r="H104" s="49">
        <f>IF(R104=0,"",IF(R104&lt;&gt;R103,INDEX(Escaleta!$F$1:$F$504,R104),IF(R104&lt;&gt;R102,TEXT(INDEX(Escaleta!$C$1:$C$504,R104),"hh:mm")&amp;"–"&amp;TEXT(INDEX(Escaleta!$E$1:$E$504,R104),"hh:mm"),"")))</f>
        <v/>
      </c>
      <c r="I104" s="49">
        <f>IF(S104=0,"",IF(S104&lt;&gt;S103,INDEX(Escaleta!$F$1:$F$504,S104),IF(S104&lt;&gt;S102,TEXT(INDEX(Escaleta!$C$1:$C$504,S104),"hh:mm")&amp;"–"&amp;TEXT(INDEX(Escaleta!$E$1:$E$504,S104),"hh:mm"),"")))</f>
        <v/>
      </c>
      <c r="L104" s="50">
        <f>IF(OR($A104="",B$6=""),0,SUMPRODUCT(MAX((Escaleta!$A$5:$A$504=$B$4)*(Escaleta!$H$5:$H$504=B$6)*(Escaleta!$K$5:$K$504&lt;&gt;"Cancelada")*(Escaleta!$C$5:$C$504&lt;$A104+Configuración!$C$7/1440)*(Escaleta!$E$5:$E$504&gt;$A104)*ROW(Escaleta!$A$5:$A$504))))</f>
        <v/>
      </c>
      <c r="M104" s="50">
        <f>IF(OR($A104="",C$6=""),0,SUMPRODUCT(MAX((Escaleta!$A$5:$A$504=$B$4)*(Escaleta!$H$5:$H$504=C$6)*(Escaleta!$K$5:$K$504&lt;&gt;"Cancelada")*(Escaleta!$C$5:$C$504&lt;$A104+Configuración!$C$7/1440)*(Escaleta!$E$5:$E$504&gt;$A104)*ROW(Escaleta!$A$5:$A$504))))</f>
        <v/>
      </c>
      <c r="N104" s="50">
        <f>IF(OR($A104="",D$6=""),0,SUMPRODUCT(MAX((Escaleta!$A$5:$A$504=$B$4)*(Escaleta!$H$5:$H$504=D$6)*(Escaleta!$K$5:$K$504&lt;&gt;"Cancelada")*(Escaleta!$C$5:$C$504&lt;$A104+Configuración!$C$7/1440)*(Escaleta!$E$5:$E$504&gt;$A104)*ROW(Escaleta!$A$5:$A$504))))</f>
        <v/>
      </c>
      <c r="O104" s="50">
        <f>IF(OR($A104="",E$6=""),0,SUMPRODUCT(MAX((Escaleta!$A$5:$A$504=$B$4)*(Escaleta!$H$5:$H$504=E$6)*(Escaleta!$K$5:$K$504&lt;&gt;"Cancelada")*(Escaleta!$C$5:$C$504&lt;$A104+Configuración!$C$7/1440)*(Escaleta!$E$5:$E$504&gt;$A104)*ROW(Escaleta!$A$5:$A$504))))</f>
        <v/>
      </c>
      <c r="P104" s="50">
        <f>IF(OR($A104="",F$6=""),0,SUMPRODUCT(MAX((Escaleta!$A$5:$A$504=$B$4)*(Escaleta!$H$5:$H$504=F$6)*(Escaleta!$K$5:$K$504&lt;&gt;"Cancelada")*(Escaleta!$C$5:$C$504&lt;$A104+Configuración!$C$7/1440)*(Escaleta!$E$5:$E$504&gt;$A104)*ROW(Escaleta!$A$5:$A$504))))</f>
        <v/>
      </c>
      <c r="Q104" s="50">
        <f>IF(OR($A104="",G$6=""),0,SUMPRODUCT(MAX((Escaleta!$A$5:$A$504=$B$4)*(Escaleta!$H$5:$H$504=G$6)*(Escaleta!$K$5:$K$504&lt;&gt;"Cancelada")*(Escaleta!$C$5:$C$504&lt;$A104+Configuración!$C$7/1440)*(Escaleta!$E$5:$E$504&gt;$A104)*ROW(Escaleta!$A$5:$A$504))))</f>
        <v/>
      </c>
      <c r="R104" s="50">
        <f>IF(OR($A104="",H$6=""),0,SUMPRODUCT(MAX((Escaleta!$A$5:$A$504=$B$4)*(Escaleta!$H$5:$H$504=H$6)*(Escaleta!$K$5:$K$504&lt;&gt;"Cancelada")*(Escaleta!$C$5:$C$504&lt;$A104+Configuración!$C$7/1440)*(Escaleta!$E$5:$E$504&gt;$A104)*ROW(Escaleta!$A$5:$A$504))))</f>
        <v/>
      </c>
      <c r="S104" s="50">
        <f>IF(OR($A104="",I$6=""),0,SUMPRODUCT(MAX((Escaleta!$A$5:$A$504=$B$4)*(Escaleta!$H$5:$H$504=I$6)*(Escaleta!$K$5:$K$504&lt;&gt;"Cancelada")*(Escaleta!$C$5:$C$504&lt;$A104+Configuración!$C$7/1440)*(Escaleta!$E$5:$E$504&gt;$A104)*ROW(Escaleta!$A$5:$A$504))))</f>
        <v/>
      </c>
      <c r="U104" s="50">
        <f>IF(L104=0,"",INDEX(Escaleta!$I$1:$I$504,L104))</f>
        <v/>
      </c>
      <c r="V104" s="50">
        <f>IF(M104=0,"",INDEX(Escaleta!$I$1:$I$504,M104))</f>
        <v/>
      </c>
      <c r="W104" s="50">
        <f>IF(N104=0,"",INDEX(Escaleta!$I$1:$I$504,N104))</f>
        <v/>
      </c>
      <c r="X104" s="50">
        <f>IF(O104=0,"",INDEX(Escaleta!$I$1:$I$504,O104))</f>
        <v/>
      </c>
      <c r="Y104" s="50">
        <f>IF(P104=0,"",INDEX(Escaleta!$I$1:$I$504,P104))</f>
        <v/>
      </c>
      <c r="Z104" s="50">
        <f>IF(Q104=0,"",INDEX(Escaleta!$I$1:$I$504,Q104))</f>
        <v/>
      </c>
      <c r="AA104" s="50">
        <f>IF(R104=0,"",INDEX(Escaleta!$I$1:$I$504,R104))</f>
        <v/>
      </c>
      <c r="AB104" s="50">
        <f>IF(S104=0,"",INDEX(Escaleta!$I$1:$I$504,S104))</f>
        <v/>
      </c>
    </row>
    <row r="105" ht="18" customHeight="1">
      <c r="A105" s="48">
        <f>IF(A104="","",IF(A104+Configuración!$C$7/1440&gt;Configuración!$C$6-0.0001,"",A104+Configuración!$C$7/1440))</f>
        <v/>
      </c>
      <c r="B105" s="49">
        <f>IF(L105=0,"",IF(L105&lt;&gt;L104,INDEX(Escaleta!$F$1:$F$504,L105),IF(L105&lt;&gt;L103,TEXT(INDEX(Escaleta!$C$1:$C$504,L105),"hh:mm")&amp;"–"&amp;TEXT(INDEX(Escaleta!$E$1:$E$504,L105),"hh:mm"),"")))</f>
        <v/>
      </c>
      <c r="C105" s="49">
        <f>IF(M105=0,"",IF(M105&lt;&gt;M104,INDEX(Escaleta!$F$1:$F$504,M105),IF(M105&lt;&gt;M103,TEXT(INDEX(Escaleta!$C$1:$C$504,M105),"hh:mm")&amp;"–"&amp;TEXT(INDEX(Escaleta!$E$1:$E$504,M105),"hh:mm"),"")))</f>
        <v/>
      </c>
      <c r="D105" s="49">
        <f>IF(N105=0,"",IF(N105&lt;&gt;N104,INDEX(Escaleta!$F$1:$F$504,N105),IF(N105&lt;&gt;N103,TEXT(INDEX(Escaleta!$C$1:$C$504,N105),"hh:mm")&amp;"–"&amp;TEXT(INDEX(Escaleta!$E$1:$E$504,N105),"hh:mm"),"")))</f>
        <v/>
      </c>
      <c r="E105" s="49">
        <f>IF(O105=0,"",IF(O105&lt;&gt;O104,INDEX(Escaleta!$F$1:$F$504,O105),IF(O105&lt;&gt;O103,TEXT(INDEX(Escaleta!$C$1:$C$504,O105),"hh:mm")&amp;"–"&amp;TEXT(INDEX(Escaleta!$E$1:$E$504,O105),"hh:mm"),"")))</f>
        <v/>
      </c>
      <c r="F105" s="49">
        <f>IF(P105=0,"",IF(P105&lt;&gt;P104,INDEX(Escaleta!$F$1:$F$504,P105),IF(P105&lt;&gt;P103,TEXT(INDEX(Escaleta!$C$1:$C$504,P105),"hh:mm")&amp;"–"&amp;TEXT(INDEX(Escaleta!$E$1:$E$504,P105),"hh:mm"),"")))</f>
        <v/>
      </c>
      <c r="G105" s="49">
        <f>IF(Q105=0,"",IF(Q105&lt;&gt;Q104,INDEX(Escaleta!$F$1:$F$504,Q105),IF(Q105&lt;&gt;Q103,TEXT(INDEX(Escaleta!$C$1:$C$504,Q105),"hh:mm")&amp;"–"&amp;TEXT(INDEX(Escaleta!$E$1:$E$504,Q105),"hh:mm"),"")))</f>
        <v/>
      </c>
      <c r="H105" s="49">
        <f>IF(R105=0,"",IF(R105&lt;&gt;R104,INDEX(Escaleta!$F$1:$F$504,R105),IF(R105&lt;&gt;R103,TEXT(INDEX(Escaleta!$C$1:$C$504,R105),"hh:mm")&amp;"–"&amp;TEXT(INDEX(Escaleta!$E$1:$E$504,R105),"hh:mm"),"")))</f>
        <v/>
      </c>
      <c r="I105" s="49">
        <f>IF(S105=0,"",IF(S105&lt;&gt;S104,INDEX(Escaleta!$F$1:$F$504,S105),IF(S105&lt;&gt;S103,TEXT(INDEX(Escaleta!$C$1:$C$504,S105),"hh:mm")&amp;"–"&amp;TEXT(INDEX(Escaleta!$E$1:$E$504,S105),"hh:mm"),"")))</f>
        <v/>
      </c>
      <c r="L105" s="50">
        <f>IF(OR($A105="",B$6=""),0,SUMPRODUCT(MAX((Escaleta!$A$5:$A$504=$B$4)*(Escaleta!$H$5:$H$504=B$6)*(Escaleta!$K$5:$K$504&lt;&gt;"Cancelada")*(Escaleta!$C$5:$C$504&lt;$A105+Configuración!$C$7/1440)*(Escaleta!$E$5:$E$504&gt;$A105)*ROW(Escaleta!$A$5:$A$504))))</f>
        <v/>
      </c>
      <c r="M105" s="50">
        <f>IF(OR($A105="",C$6=""),0,SUMPRODUCT(MAX((Escaleta!$A$5:$A$504=$B$4)*(Escaleta!$H$5:$H$504=C$6)*(Escaleta!$K$5:$K$504&lt;&gt;"Cancelada")*(Escaleta!$C$5:$C$504&lt;$A105+Configuración!$C$7/1440)*(Escaleta!$E$5:$E$504&gt;$A105)*ROW(Escaleta!$A$5:$A$504))))</f>
        <v/>
      </c>
      <c r="N105" s="50">
        <f>IF(OR($A105="",D$6=""),0,SUMPRODUCT(MAX((Escaleta!$A$5:$A$504=$B$4)*(Escaleta!$H$5:$H$504=D$6)*(Escaleta!$K$5:$K$504&lt;&gt;"Cancelada")*(Escaleta!$C$5:$C$504&lt;$A105+Configuración!$C$7/1440)*(Escaleta!$E$5:$E$504&gt;$A105)*ROW(Escaleta!$A$5:$A$504))))</f>
        <v/>
      </c>
      <c r="O105" s="50">
        <f>IF(OR($A105="",E$6=""),0,SUMPRODUCT(MAX((Escaleta!$A$5:$A$504=$B$4)*(Escaleta!$H$5:$H$504=E$6)*(Escaleta!$K$5:$K$504&lt;&gt;"Cancelada")*(Escaleta!$C$5:$C$504&lt;$A105+Configuración!$C$7/1440)*(Escaleta!$E$5:$E$504&gt;$A105)*ROW(Escaleta!$A$5:$A$504))))</f>
        <v/>
      </c>
      <c r="P105" s="50">
        <f>IF(OR($A105="",F$6=""),0,SUMPRODUCT(MAX((Escaleta!$A$5:$A$504=$B$4)*(Escaleta!$H$5:$H$504=F$6)*(Escaleta!$K$5:$K$504&lt;&gt;"Cancelada")*(Escaleta!$C$5:$C$504&lt;$A105+Configuración!$C$7/1440)*(Escaleta!$E$5:$E$504&gt;$A105)*ROW(Escaleta!$A$5:$A$504))))</f>
        <v/>
      </c>
      <c r="Q105" s="50">
        <f>IF(OR($A105="",G$6=""),0,SUMPRODUCT(MAX((Escaleta!$A$5:$A$504=$B$4)*(Escaleta!$H$5:$H$504=G$6)*(Escaleta!$K$5:$K$504&lt;&gt;"Cancelada")*(Escaleta!$C$5:$C$504&lt;$A105+Configuración!$C$7/1440)*(Escaleta!$E$5:$E$504&gt;$A105)*ROW(Escaleta!$A$5:$A$504))))</f>
        <v/>
      </c>
      <c r="R105" s="50">
        <f>IF(OR($A105="",H$6=""),0,SUMPRODUCT(MAX((Escaleta!$A$5:$A$504=$B$4)*(Escaleta!$H$5:$H$504=H$6)*(Escaleta!$K$5:$K$504&lt;&gt;"Cancelada")*(Escaleta!$C$5:$C$504&lt;$A105+Configuración!$C$7/1440)*(Escaleta!$E$5:$E$504&gt;$A105)*ROW(Escaleta!$A$5:$A$504))))</f>
        <v/>
      </c>
      <c r="S105" s="50">
        <f>IF(OR($A105="",I$6=""),0,SUMPRODUCT(MAX((Escaleta!$A$5:$A$504=$B$4)*(Escaleta!$H$5:$H$504=I$6)*(Escaleta!$K$5:$K$504&lt;&gt;"Cancelada")*(Escaleta!$C$5:$C$504&lt;$A105+Configuración!$C$7/1440)*(Escaleta!$E$5:$E$504&gt;$A105)*ROW(Escaleta!$A$5:$A$504))))</f>
        <v/>
      </c>
      <c r="U105" s="50">
        <f>IF(L105=0,"",INDEX(Escaleta!$I$1:$I$504,L105))</f>
        <v/>
      </c>
      <c r="V105" s="50">
        <f>IF(M105=0,"",INDEX(Escaleta!$I$1:$I$504,M105))</f>
        <v/>
      </c>
      <c r="W105" s="50">
        <f>IF(N105=0,"",INDEX(Escaleta!$I$1:$I$504,N105))</f>
        <v/>
      </c>
      <c r="X105" s="50">
        <f>IF(O105=0,"",INDEX(Escaleta!$I$1:$I$504,O105))</f>
        <v/>
      </c>
      <c r="Y105" s="50">
        <f>IF(P105=0,"",INDEX(Escaleta!$I$1:$I$504,P105))</f>
        <v/>
      </c>
      <c r="Z105" s="50">
        <f>IF(Q105=0,"",INDEX(Escaleta!$I$1:$I$504,Q105))</f>
        <v/>
      </c>
      <c r="AA105" s="50">
        <f>IF(R105=0,"",INDEX(Escaleta!$I$1:$I$504,R105))</f>
        <v/>
      </c>
      <c r="AB105" s="50">
        <f>IF(S105=0,"",INDEX(Escaleta!$I$1:$I$504,S105))</f>
        <v/>
      </c>
    </row>
    <row r="106" ht="18" customHeight="1">
      <c r="A106" s="48">
        <f>IF(A105="","",IF(A105+Configuración!$C$7/1440&gt;Configuración!$C$6-0.0001,"",A105+Configuración!$C$7/1440))</f>
        <v/>
      </c>
      <c r="B106" s="49">
        <f>IF(L106=0,"",IF(L106&lt;&gt;L105,INDEX(Escaleta!$F$1:$F$504,L106),IF(L106&lt;&gt;L104,TEXT(INDEX(Escaleta!$C$1:$C$504,L106),"hh:mm")&amp;"–"&amp;TEXT(INDEX(Escaleta!$E$1:$E$504,L106),"hh:mm"),"")))</f>
        <v/>
      </c>
      <c r="C106" s="49">
        <f>IF(M106=0,"",IF(M106&lt;&gt;M105,INDEX(Escaleta!$F$1:$F$504,M106),IF(M106&lt;&gt;M104,TEXT(INDEX(Escaleta!$C$1:$C$504,M106),"hh:mm")&amp;"–"&amp;TEXT(INDEX(Escaleta!$E$1:$E$504,M106),"hh:mm"),"")))</f>
        <v/>
      </c>
      <c r="D106" s="49">
        <f>IF(N106=0,"",IF(N106&lt;&gt;N105,INDEX(Escaleta!$F$1:$F$504,N106),IF(N106&lt;&gt;N104,TEXT(INDEX(Escaleta!$C$1:$C$504,N106),"hh:mm")&amp;"–"&amp;TEXT(INDEX(Escaleta!$E$1:$E$504,N106),"hh:mm"),"")))</f>
        <v/>
      </c>
      <c r="E106" s="49">
        <f>IF(O106=0,"",IF(O106&lt;&gt;O105,INDEX(Escaleta!$F$1:$F$504,O106),IF(O106&lt;&gt;O104,TEXT(INDEX(Escaleta!$C$1:$C$504,O106),"hh:mm")&amp;"–"&amp;TEXT(INDEX(Escaleta!$E$1:$E$504,O106),"hh:mm"),"")))</f>
        <v/>
      </c>
      <c r="F106" s="49">
        <f>IF(P106=0,"",IF(P106&lt;&gt;P105,INDEX(Escaleta!$F$1:$F$504,P106),IF(P106&lt;&gt;P104,TEXT(INDEX(Escaleta!$C$1:$C$504,P106),"hh:mm")&amp;"–"&amp;TEXT(INDEX(Escaleta!$E$1:$E$504,P106),"hh:mm"),"")))</f>
        <v/>
      </c>
      <c r="G106" s="49">
        <f>IF(Q106=0,"",IF(Q106&lt;&gt;Q105,INDEX(Escaleta!$F$1:$F$504,Q106),IF(Q106&lt;&gt;Q104,TEXT(INDEX(Escaleta!$C$1:$C$504,Q106),"hh:mm")&amp;"–"&amp;TEXT(INDEX(Escaleta!$E$1:$E$504,Q106),"hh:mm"),"")))</f>
        <v/>
      </c>
      <c r="H106" s="49">
        <f>IF(R106=0,"",IF(R106&lt;&gt;R105,INDEX(Escaleta!$F$1:$F$504,R106),IF(R106&lt;&gt;R104,TEXT(INDEX(Escaleta!$C$1:$C$504,R106),"hh:mm")&amp;"–"&amp;TEXT(INDEX(Escaleta!$E$1:$E$504,R106),"hh:mm"),"")))</f>
        <v/>
      </c>
      <c r="I106" s="49">
        <f>IF(S106=0,"",IF(S106&lt;&gt;S105,INDEX(Escaleta!$F$1:$F$504,S106),IF(S106&lt;&gt;S104,TEXT(INDEX(Escaleta!$C$1:$C$504,S106),"hh:mm")&amp;"–"&amp;TEXT(INDEX(Escaleta!$E$1:$E$504,S106),"hh:mm"),"")))</f>
        <v/>
      </c>
      <c r="L106" s="50">
        <f>IF(OR($A106="",B$6=""),0,SUMPRODUCT(MAX((Escaleta!$A$5:$A$504=$B$4)*(Escaleta!$H$5:$H$504=B$6)*(Escaleta!$K$5:$K$504&lt;&gt;"Cancelada")*(Escaleta!$C$5:$C$504&lt;$A106+Configuración!$C$7/1440)*(Escaleta!$E$5:$E$504&gt;$A106)*ROW(Escaleta!$A$5:$A$504))))</f>
        <v/>
      </c>
      <c r="M106" s="50">
        <f>IF(OR($A106="",C$6=""),0,SUMPRODUCT(MAX((Escaleta!$A$5:$A$504=$B$4)*(Escaleta!$H$5:$H$504=C$6)*(Escaleta!$K$5:$K$504&lt;&gt;"Cancelada")*(Escaleta!$C$5:$C$504&lt;$A106+Configuración!$C$7/1440)*(Escaleta!$E$5:$E$504&gt;$A106)*ROW(Escaleta!$A$5:$A$504))))</f>
        <v/>
      </c>
      <c r="N106" s="50">
        <f>IF(OR($A106="",D$6=""),0,SUMPRODUCT(MAX((Escaleta!$A$5:$A$504=$B$4)*(Escaleta!$H$5:$H$504=D$6)*(Escaleta!$K$5:$K$504&lt;&gt;"Cancelada")*(Escaleta!$C$5:$C$504&lt;$A106+Configuración!$C$7/1440)*(Escaleta!$E$5:$E$504&gt;$A106)*ROW(Escaleta!$A$5:$A$504))))</f>
        <v/>
      </c>
      <c r="O106" s="50">
        <f>IF(OR($A106="",E$6=""),0,SUMPRODUCT(MAX((Escaleta!$A$5:$A$504=$B$4)*(Escaleta!$H$5:$H$504=E$6)*(Escaleta!$K$5:$K$504&lt;&gt;"Cancelada")*(Escaleta!$C$5:$C$504&lt;$A106+Configuración!$C$7/1440)*(Escaleta!$E$5:$E$504&gt;$A106)*ROW(Escaleta!$A$5:$A$504))))</f>
        <v/>
      </c>
      <c r="P106" s="50">
        <f>IF(OR($A106="",F$6=""),0,SUMPRODUCT(MAX((Escaleta!$A$5:$A$504=$B$4)*(Escaleta!$H$5:$H$504=F$6)*(Escaleta!$K$5:$K$504&lt;&gt;"Cancelada")*(Escaleta!$C$5:$C$504&lt;$A106+Configuración!$C$7/1440)*(Escaleta!$E$5:$E$504&gt;$A106)*ROW(Escaleta!$A$5:$A$504))))</f>
        <v/>
      </c>
      <c r="Q106" s="50">
        <f>IF(OR($A106="",G$6=""),0,SUMPRODUCT(MAX((Escaleta!$A$5:$A$504=$B$4)*(Escaleta!$H$5:$H$504=G$6)*(Escaleta!$K$5:$K$504&lt;&gt;"Cancelada")*(Escaleta!$C$5:$C$504&lt;$A106+Configuración!$C$7/1440)*(Escaleta!$E$5:$E$504&gt;$A106)*ROW(Escaleta!$A$5:$A$504))))</f>
        <v/>
      </c>
      <c r="R106" s="50">
        <f>IF(OR($A106="",H$6=""),0,SUMPRODUCT(MAX((Escaleta!$A$5:$A$504=$B$4)*(Escaleta!$H$5:$H$504=H$6)*(Escaleta!$K$5:$K$504&lt;&gt;"Cancelada")*(Escaleta!$C$5:$C$504&lt;$A106+Configuración!$C$7/1440)*(Escaleta!$E$5:$E$504&gt;$A106)*ROW(Escaleta!$A$5:$A$504))))</f>
        <v/>
      </c>
      <c r="S106" s="50">
        <f>IF(OR($A106="",I$6=""),0,SUMPRODUCT(MAX((Escaleta!$A$5:$A$504=$B$4)*(Escaleta!$H$5:$H$504=I$6)*(Escaleta!$K$5:$K$504&lt;&gt;"Cancelada")*(Escaleta!$C$5:$C$504&lt;$A106+Configuración!$C$7/1440)*(Escaleta!$E$5:$E$504&gt;$A106)*ROW(Escaleta!$A$5:$A$504))))</f>
        <v/>
      </c>
      <c r="U106" s="50">
        <f>IF(L106=0,"",INDEX(Escaleta!$I$1:$I$504,L106))</f>
        <v/>
      </c>
      <c r="V106" s="50">
        <f>IF(M106=0,"",INDEX(Escaleta!$I$1:$I$504,M106))</f>
        <v/>
      </c>
      <c r="W106" s="50">
        <f>IF(N106=0,"",INDEX(Escaleta!$I$1:$I$504,N106))</f>
        <v/>
      </c>
      <c r="X106" s="50">
        <f>IF(O106=0,"",INDEX(Escaleta!$I$1:$I$504,O106))</f>
        <v/>
      </c>
      <c r="Y106" s="50">
        <f>IF(P106=0,"",INDEX(Escaleta!$I$1:$I$504,P106))</f>
        <v/>
      </c>
      <c r="Z106" s="50">
        <f>IF(Q106=0,"",INDEX(Escaleta!$I$1:$I$504,Q106))</f>
        <v/>
      </c>
      <c r="AA106" s="50">
        <f>IF(R106=0,"",INDEX(Escaleta!$I$1:$I$504,R106))</f>
        <v/>
      </c>
      <c r="AB106" s="50">
        <f>IF(S106=0,"",INDEX(Escaleta!$I$1:$I$504,S106))</f>
        <v/>
      </c>
    </row>
    <row r="107" ht="18" customHeight="1">
      <c r="A107" s="48">
        <f>IF(A106="","",IF(A106+Configuración!$C$7/1440&gt;Configuración!$C$6-0.0001,"",A106+Configuración!$C$7/1440))</f>
        <v/>
      </c>
      <c r="B107" s="49">
        <f>IF(L107=0,"",IF(L107&lt;&gt;L106,INDEX(Escaleta!$F$1:$F$504,L107),IF(L107&lt;&gt;L105,TEXT(INDEX(Escaleta!$C$1:$C$504,L107),"hh:mm")&amp;"–"&amp;TEXT(INDEX(Escaleta!$E$1:$E$504,L107),"hh:mm"),"")))</f>
        <v/>
      </c>
      <c r="C107" s="49">
        <f>IF(M107=0,"",IF(M107&lt;&gt;M106,INDEX(Escaleta!$F$1:$F$504,M107),IF(M107&lt;&gt;M105,TEXT(INDEX(Escaleta!$C$1:$C$504,M107),"hh:mm")&amp;"–"&amp;TEXT(INDEX(Escaleta!$E$1:$E$504,M107),"hh:mm"),"")))</f>
        <v/>
      </c>
      <c r="D107" s="49">
        <f>IF(N107=0,"",IF(N107&lt;&gt;N106,INDEX(Escaleta!$F$1:$F$504,N107),IF(N107&lt;&gt;N105,TEXT(INDEX(Escaleta!$C$1:$C$504,N107),"hh:mm")&amp;"–"&amp;TEXT(INDEX(Escaleta!$E$1:$E$504,N107),"hh:mm"),"")))</f>
        <v/>
      </c>
      <c r="E107" s="49">
        <f>IF(O107=0,"",IF(O107&lt;&gt;O106,INDEX(Escaleta!$F$1:$F$504,O107),IF(O107&lt;&gt;O105,TEXT(INDEX(Escaleta!$C$1:$C$504,O107),"hh:mm")&amp;"–"&amp;TEXT(INDEX(Escaleta!$E$1:$E$504,O107),"hh:mm"),"")))</f>
        <v/>
      </c>
      <c r="F107" s="49">
        <f>IF(P107=0,"",IF(P107&lt;&gt;P106,INDEX(Escaleta!$F$1:$F$504,P107),IF(P107&lt;&gt;P105,TEXT(INDEX(Escaleta!$C$1:$C$504,P107),"hh:mm")&amp;"–"&amp;TEXT(INDEX(Escaleta!$E$1:$E$504,P107),"hh:mm"),"")))</f>
        <v/>
      </c>
      <c r="G107" s="49">
        <f>IF(Q107=0,"",IF(Q107&lt;&gt;Q106,INDEX(Escaleta!$F$1:$F$504,Q107),IF(Q107&lt;&gt;Q105,TEXT(INDEX(Escaleta!$C$1:$C$504,Q107),"hh:mm")&amp;"–"&amp;TEXT(INDEX(Escaleta!$E$1:$E$504,Q107),"hh:mm"),"")))</f>
        <v/>
      </c>
      <c r="H107" s="49">
        <f>IF(R107=0,"",IF(R107&lt;&gt;R106,INDEX(Escaleta!$F$1:$F$504,R107),IF(R107&lt;&gt;R105,TEXT(INDEX(Escaleta!$C$1:$C$504,R107),"hh:mm")&amp;"–"&amp;TEXT(INDEX(Escaleta!$E$1:$E$504,R107),"hh:mm"),"")))</f>
        <v/>
      </c>
      <c r="I107" s="49">
        <f>IF(S107=0,"",IF(S107&lt;&gt;S106,INDEX(Escaleta!$F$1:$F$504,S107),IF(S107&lt;&gt;S105,TEXT(INDEX(Escaleta!$C$1:$C$504,S107),"hh:mm")&amp;"–"&amp;TEXT(INDEX(Escaleta!$E$1:$E$504,S107),"hh:mm"),"")))</f>
        <v/>
      </c>
      <c r="L107" s="50">
        <f>IF(OR($A107="",B$6=""),0,SUMPRODUCT(MAX((Escaleta!$A$5:$A$504=$B$4)*(Escaleta!$H$5:$H$504=B$6)*(Escaleta!$K$5:$K$504&lt;&gt;"Cancelada")*(Escaleta!$C$5:$C$504&lt;$A107+Configuración!$C$7/1440)*(Escaleta!$E$5:$E$504&gt;$A107)*ROW(Escaleta!$A$5:$A$504))))</f>
        <v/>
      </c>
      <c r="M107" s="50">
        <f>IF(OR($A107="",C$6=""),0,SUMPRODUCT(MAX((Escaleta!$A$5:$A$504=$B$4)*(Escaleta!$H$5:$H$504=C$6)*(Escaleta!$K$5:$K$504&lt;&gt;"Cancelada")*(Escaleta!$C$5:$C$504&lt;$A107+Configuración!$C$7/1440)*(Escaleta!$E$5:$E$504&gt;$A107)*ROW(Escaleta!$A$5:$A$504))))</f>
        <v/>
      </c>
      <c r="N107" s="50">
        <f>IF(OR($A107="",D$6=""),0,SUMPRODUCT(MAX((Escaleta!$A$5:$A$504=$B$4)*(Escaleta!$H$5:$H$504=D$6)*(Escaleta!$K$5:$K$504&lt;&gt;"Cancelada")*(Escaleta!$C$5:$C$504&lt;$A107+Configuración!$C$7/1440)*(Escaleta!$E$5:$E$504&gt;$A107)*ROW(Escaleta!$A$5:$A$504))))</f>
        <v/>
      </c>
      <c r="O107" s="50">
        <f>IF(OR($A107="",E$6=""),0,SUMPRODUCT(MAX((Escaleta!$A$5:$A$504=$B$4)*(Escaleta!$H$5:$H$504=E$6)*(Escaleta!$K$5:$K$504&lt;&gt;"Cancelada")*(Escaleta!$C$5:$C$504&lt;$A107+Configuración!$C$7/1440)*(Escaleta!$E$5:$E$504&gt;$A107)*ROW(Escaleta!$A$5:$A$504))))</f>
        <v/>
      </c>
      <c r="P107" s="50">
        <f>IF(OR($A107="",F$6=""),0,SUMPRODUCT(MAX((Escaleta!$A$5:$A$504=$B$4)*(Escaleta!$H$5:$H$504=F$6)*(Escaleta!$K$5:$K$504&lt;&gt;"Cancelada")*(Escaleta!$C$5:$C$504&lt;$A107+Configuración!$C$7/1440)*(Escaleta!$E$5:$E$504&gt;$A107)*ROW(Escaleta!$A$5:$A$504))))</f>
        <v/>
      </c>
      <c r="Q107" s="50">
        <f>IF(OR($A107="",G$6=""),0,SUMPRODUCT(MAX((Escaleta!$A$5:$A$504=$B$4)*(Escaleta!$H$5:$H$504=G$6)*(Escaleta!$K$5:$K$504&lt;&gt;"Cancelada")*(Escaleta!$C$5:$C$504&lt;$A107+Configuración!$C$7/1440)*(Escaleta!$E$5:$E$504&gt;$A107)*ROW(Escaleta!$A$5:$A$504))))</f>
        <v/>
      </c>
      <c r="R107" s="50">
        <f>IF(OR($A107="",H$6=""),0,SUMPRODUCT(MAX((Escaleta!$A$5:$A$504=$B$4)*(Escaleta!$H$5:$H$504=H$6)*(Escaleta!$K$5:$K$504&lt;&gt;"Cancelada")*(Escaleta!$C$5:$C$504&lt;$A107+Configuración!$C$7/1440)*(Escaleta!$E$5:$E$504&gt;$A107)*ROW(Escaleta!$A$5:$A$504))))</f>
        <v/>
      </c>
      <c r="S107" s="50">
        <f>IF(OR($A107="",I$6=""),0,SUMPRODUCT(MAX((Escaleta!$A$5:$A$504=$B$4)*(Escaleta!$H$5:$H$504=I$6)*(Escaleta!$K$5:$K$504&lt;&gt;"Cancelada")*(Escaleta!$C$5:$C$504&lt;$A107+Configuración!$C$7/1440)*(Escaleta!$E$5:$E$504&gt;$A107)*ROW(Escaleta!$A$5:$A$504))))</f>
        <v/>
      </c>
      <c r="U107" s="50">
        <f>IF(L107=0,"",INDEX(Escaleta!$I$1:$I$504,L107))</f>
        <v/>
      </c>
      <c r="V107" s="50">
        <f>IF(M107=0,"",INDEX(Escaleta!$I$1:$I$504,M107))</f>
        <v/>
      </c>
      <c r="W107" s="50">
        <f>IF(N107=0,"",INDEX(Escaleta!$I$1:$I$504,N107))</f>
        <v/>
      </c>
      <c r="X107" s="50">
        <f>IF(O107=0,"",INDEX(Escaleta!$I$1:$I$504,O107))</f>
        <v/>
      </c>
      <c r="Y107" s="50">
        <f>IF(P107=0,"",INDEX(Escaleta!$I$1:$I$504,P107))</f>
        <v/>
      </c>
      <c r="Z107" s="50">
        <f>IF(Q107=0,"",INDEX(Escaleta!$I$1:$I$504,Q107))</f>
        <v/>
      </c>
      <c r="AA107" s="50">
        <f>IF(R107=0,"",INDEX(Escaleta!$I$1:$I$504,R107))</f>
        <v/>
      </c>
      <c r="AB107" s="50">
        <f>IF(S107=0,"",INDEX(Escaleta!$I$1:$I$504,S107))</f>
        <v/>
      </c>
    </row>
    <row r="108" ht="18" customHeight="1">
      <c r="A108" s="48">
        <f>IF(A107="","",IF(A107+Configuración!$C$7/1440&gt;Configuración!$C$6-0.0001,"",A107+Configuración!$C$7/1440))</f>
        <v/>
      </c>
      <c r="B108" s="49">
        <f>IF(L108=0,"",IF(L108&lt;&gt;L107,INDEX(Escaleta!$F$1:$F$504,L108),IF(L108&lt;&gt;L106,TEXT(INDEX(Escaleta!$C$1:$C$504,L108),"hh:mm")&amp;"–"&amp;TEXT(INDEX(Escaleta!$E$1:$E$504,L108),"hh:mm"),"")))</f>
        <v/>
      </c>
      <c r="C108" s="49">
        <f>IF(M108=0,"",IF(M108&lt;&gt;M107,INDEX(Escaleta!$F$1:$F$504,M108),IF(M108&lt;&gt;M106,TEXT(INDEX(Escaleta!$C$1:$C$504,M108),"hh:mm")&amp;"–"&amp;TEXT(INDEX(Escaleta!$E$1:$E$504,M108),"hh:mm"),"")))</f>
        <v/>
      </c>
      <c r="D108" s="49">
        <f>IF(N108=0,"",IF(N108&lt;&gt;N107,INDEX(Escaleta!$F$1:$F$504,N108),IF(N108&lt;&gt;N106,TEXT(INDEX(Escaleta!$C$1:$C$504,N108),"hh:mm")&amp;"–"&amp;TEXT(INDEX(Escaleta!$E$1:$E$504,N108),"hh:mm"),"")))</f>
        <v/>
      </c>
      <c r="E108" s="49">
        <f>IF(O108=0,"",IF(O108&lt;&gt;O107,INDEX(Escaleta!$F$1:$F$504,O108),IF(O108&lt;&gt;O106,TEXT(INDEX(Escaleta!$C$1:$C$504,O108),"hh:mm")&amp;"–"&amp;TEXT(INDEX(Escaleta!$E$1:$E$504,O108),"hh:mm"),"")))</f>
        <v/>
      </c>
      <c r="F108" s="49">
        <f>IF(P108=0,"",IF(P108&lt;&gt;P107,INDEX(Escaleta!$F$1:$F$504,P108),IF(P108&lt;&gt;P106,TEXT(INDEX(Escaleta!$C$1:$C$504,P108),"hh:mm")&amp;"–"&amp;TEXT(INDEX(Escaleta!$E$1:$E$504,P108),"hh:mm"),"")))</f>
        <v/>
      </c>
      <c r="G108" s="49">
        <f>IF(Q108=0,"",IF(Q108&lt;&gt;Q107,INDEX(Escaleta!$F$1:$F$504,Q108),IF(Q108&lt;&gt;Q106,TEXT(INDEX(Escaleta!$C$1:$C$504,Q108),"hh:mm")&amp;"–"&amp;TEXT(INDEX(Escaleta!$E$1:$E$504,Q108),"hh:mm"),"")))</f>
        <v/>
      </c>
      <c r="H108" s="49">
        <f>IF(R108=0,"",IF(R108&lt;&gt;R107,INDEX(Escaleta!$F$1:$F$504,R108),IF(R108&lt;&gt;R106,TEXT(INDEX(Escaleta!$C$1:$C$504,R108),"hh:mm")&amp;"–"&amp;TEXT(INDEX(Escaleta!$E$1:$E$504,R108),"hh:mm"),"")))</f>
        <v/>
      </c>
      <c r="I108" s="49">
        <f>IF(S108=0,"",IF(S108&lt;&gt;S107,INDEX(Escaleta!$F$1:$F$504,S108),IF(S108&lt;&gt;S106,TEXT(INDEX(Escaleta!$C$1:$C$504,S108),"hh:mm")&amp;"–"&amp;TEXT(INDEX(Escaleta!$E$1:$E$504,S108),"hh:mm"),"")))</f>
        <v/>
      </c>
      <c r="L108" s="50">
        <f>IF(OR($A108="",B$6=""),0,SUMPRODUCT(MAX((Escaleta!$A$5:$A$504=$B$4)*(Escaleta!$H$5:$H$504=B$6)*(Escaleta!$K$5:$K$504&lt;&gt;"Cancelada")*(Escaleta!$C$5:$C$504&lt;$A108+Configuración!$C$7/1440)*(Escaleta!$E$5:$E$504&gt;$A108)*ROW(Escaleta!$A$5:$A$504))))</f>
        <v/>
      </c>
      <c r="M108" s="50">
        <f>IF(OR($A108="",C$6=""),0,SUMPRODUCT(MAX((Escaleta!$A$5:$A$504=$B$4)*(Escaleta!$H$5:$H$504=C$6)*(Escaleta!$K$5:$K$504&lt;&gt;"Cancelada")*(Escaleta!$C$5:$C$504&lt;$A108+Configuración!$C$7/1440)*(Escaleta!$E$5:$E$504&gt;$A108)*ROW(Escaleta!$A$5:$A$504))))</f>
        <v/>
      </c>
      <c r="N108" s="50">
        <f>IF(OR($A108="",D$6=""),0,SUMPRODUCT(MAX((Escaleta!$A$5:$A$504=$B$4)*(Escaleta!$H$5:$H$504=D$6)*(Escaleta!$K$5:$K$504&lt;&gt;"Cancelada")*(Escaleta!$C$5:$C$504&lt;$A108+Configuración!$C$7/1440)*(Escaleta!$E$5:$E$504&gt;$A108)*ROW(Escaleta!$A$5:$A$504))))</f>
        <v/>
      </c>
      <c r="O108" s="50">
        <f>IF(OR($A108="",E$6=""),0,SUMPRODUCT(MAX((Escaleta!$A$5:$A$504=$B$4)*(Escaleta!$H$5:$H$504=E$6)*(Escaleta!$K$5:$K$504&lt;&gt;"Cancelada")*(Escaleta!$C$5:$C$504&lt;$A108+Configuración!$C$7/1440)*(Escaleta!$E$5:$E$504&gt;$A108)*ROW(Escaleta!$A$5:$A$504))))</f>
        <v/>
      </c>
      <c r="P108" s="50">
        <f>IF(OR($A108="",F$6=""),0,SUMPRODUCT(MAX((Escaleta!$A$5:$A$504=$B$4)*(Escaleta!$H$5:$H$504=F$6)*(Escaleta!$K$5:$K$504&lt;&gt;"Cancelada")*(Escaleta!$C$5:$C$504&lt;$A108+Configuración!$C$7/1440)*(Escaleta!$E$5:$E$504&gt;$A108)*ROW(Escaleta!$A$5:$A$504))))</f>
        <v/>
      </c>
      <c r="Q108" s="50">
        <f>IF(OR($A108="",G$6=""),0,SUMPRODUCT(MAX((Escaleta!$A$5:$A$504=$B$4)*(Escaleta!$H$5:$H$504=G$6)*(Escaleta!$K$5:$K$504&lt;&gt;"Cancelada")*(Escaleta!$C$5:$C$504&lt;$A108+Configuración!$C$7/1440)*(Escaleta!$E$5:$E$504&gt;$A108)*ROW(Escaleta!$A$5:$A$504))))</f>
        <v/>
      </c>
      <c r="R108" s="50">
        <f>IF(OR($A108="",H$6=""),0,SUMPRODUCT(MAX((Escaleta!$A$5:$A$504=$B$4)*(Escaleta!$H$5:$H$504=H$6)*(Escaleta!$K$5:$K$504&lt;&gt;"Cancelada")*(Escaleta!$C$5:$C$504&lt;$A108+Configuración!$C$7/1440)*(Escaleta!$E$5:$E$504&gt;$A108)*ROW(Escaleta!$A$5:$A$504))))</f>
        <v/>
      </c>
      <c r="S108" s="50">
        <f>IF(OR($A108="",I$6=""),0,SUMPRODUCT(MAX((Escaleta!$A$5:$A$504=$B$4)*(Escaleta!$H$5:$H$504=I$6)*(Escaleta!$K$5:$K$504&lt;&gt;"Cancelada")*(Escaleta!$C$5:$C$504&lt;$A108+Configuración!$C$7/1440)*(Escaleta!$E$5:$E$504&gt;$A108)*ROW(Escaleta!$A$5:$A$504))))</f>
        <v/>
      </c>
      <c r="U108" s="50">
        <f>IF(L108=0,"",INDEX(Escaleta!$I$1:$I$504,L108))</f>
        <v/>
      </c>
      <c r="V108" s="50">
        <f>IF(M108=0,"",INDEX(Escaleta!$I$1:$I$504,M108))</f>
        <v/>
      </c>
      <c r="W108" s="50">
        <f>IF(N108=0,"",INDEX(Escaleta!$I$1:$I$504,N108))</f>
        <v/>
      </c>
      <c r="X108" s="50">
        <f>IF(O108=0,"",INDEX(Escaleta!$I$1:$I$504,O108))</f>
        <v/>
      </c>
      <c r="Y108" s="50">
        <f>IF(P108=0,"",INDEX(Escaleta!$I$1:$I$504,P108))</f>
        <v/>
      </c>
      <c r="Z108" s="50">
        <f>IF(Q108=0,"",INDEX(Escaleta!$I$1:$I$504,Q108))</f>
        <v/>
      </c>
      <c r="AA108" s="50">
        <f>IF(R108=0,"",INDEX(Escaleta!$I$1:$I$504,R108))</f>
        <v/>
      </c>
      <c r="AB108" s="50">
        <f>IF(S108=0,"",INDEX(Escaleta!$I$1:$I$504,S108))</f>
        <v/>
      </c>
    </row>
    <row r="109" ht="18" customHeight="1">
      <c r="A109" s="48">
        <f>IF(A108="","",IF(A108+Configuración!$C$7/1440&gt;Configuración!$C$6-0.0001,"",A108+Configuración!$C$7/1440))</f>
        <v/>
      </c>
      <c r="B109" s="49">
        <f>IF(L109=0,"",IF(L109&lt;&gt;L108,INDEX(Escaleta!$F$1:$F$504,L109),IF(L109&lt;&gt;L107,TEXT(INDEX(Escaleta!$C$1:$C$504,L109),"hh:mm")&amp;"–"&amp;TEXT(INDEX(Escaleta!$E$1:$E$504,L109),"hh:mm"),"")))</f>
        <v/>
      </c>
      <c r="C109" s="49">
        <f>IF(M109=0,"",IF(M109&lt;&gt;M108,INDEX(Escaleta!$F$1:$F$504,M109),IF(M109&lt;&gt;M107,TEXT(INDEX(Escaleta!$C$1:$C$504,M109),"hh:mm")&amp;"–"&amp;TEXT(INDEX(Escaleta!$E$1:$E$504,M109),"hh:mm"),"")))</f>
        <v/>
      </c>
      <c r="D109" s="49">
        <f>IF(N109=0,"",IF(N109&lt;&gt;N108,INDEX(Escaleta!$F$1:$F$504,N109),IF(N109&lt;&gt;N107,TEXT(INDEX(Escaleta!$C$1:$C$504,N109),"hh:mm")&amp;"–"&amp;TEXT(INDEX(Escaleta!$E$1:$E$504,N109),"hh:mm"),"")))</f>
        <v/>
      </c>
      <c r="E109" s="49">
        <f>IF(O109=0,"",IF(O109&lt;&gt;O108,INDEX(Escaleta!$F$1:$F$504,O109),IF(O109&lt;&gt;O107,TEXT(INDEX(Escaleta!$C$1:$C$504,O109),"hh:mm")&amp;"–"&amp;TEXT(INDEX(Escaleta!$E$1:$E$504,O109),"hh:mm"),"")))</f>
        <v/>
      </c>
      <c r="F109" s="49">
        <f>IF(P109=0,"",IF(P109&lt;&gt;P108,INDEX(Escaleta!$F$1:$F$504,P109),IF(P109&lt;&gt;P107,TEXT(INDEX(Escaleta!$C$1:$C$504,P109),"hh:mm")&amp;"–"&amp;TEXT(INDEX(Escaleta!$E$1:$E$504,P109),"hh:mm"),"")))</f>
        <v/>
      </c>
      <c r="G109" s="49">
        <f>IF(Q109=0,"",IF(Q109&lt;&gt;Q108,INDEX(Escaleta!$F$1:$F$504,Q109),IF(Q109&lt;&gt;Q107,TEXT(INDEX(Escaleta!$C$1:$C$504,Q109),"hh:mm")&amp;"–"&amp;TEXT(INDEX(Escaleta!$E$1:$E$504,Q109),"hh:mm"),"")))</f>
        <v/>
      </c>
      <c r="H109" s="49">
        <f>IF(R109=0,"",IF(R109&lt;&gt;R108,INDEX(Escaleta!$F$1:$F$504,R109),IF(R109&lt;&gt;R107,TEXT(INDEX(Escaleta!$C$1:$C$504,R109),"hh:mm")&amp;"–"&amp;TEXT(INDEX(Escaleta!$E$1:$E$504,R109),"hh:mm"),"")))</f>
        <v/>
      </c>
      <c r="I109" s="49">
        <f>IF(S109=0,"",IF(S109&lt;&gt;S108,INDEX(Escaleta!$F$1:$F$504,S109),IF(S109&lt;&gt;S107,TEXT(INDEX(Escaleta!$C$1:$C$504,S109),"hh:mm")&amp;"–"&amp;TEXT(INDEX(Escaleta!$E$1:$E$504,S109),"hh:mm"),"")))</f>
        <v/>
      </c>
      <c r="L109" s="50">
        <f>IF(OR($A109="",B$6=""),0,SUMPRODUCT(MAX((Escaleta!$A$5:$A$504=$B$4)*(Escaleta!$H$5:$H$504=B$6)*(Escaleta!$K$5:$K$504&lt;&gt;"Cancelada")*(Escaleta!$C$5:$C$504&lt;$A109+Configuración!$C$7/1440)*(Escaleta!$E$5:$E$504&gt;$A109)*ROW(Escaleta!$A$5:$A$504))))</f>
        <v/>
      </c>
      <c r="M109" s="50">
        <f>IF(OR($A109="",C$6=""),0,SUMPRODUCT(MAX((Escaleta!$A$5:$A$504=$B$4)*(Escaleta!$H$5:$H$504=C$6)*(Escaleta!$K$5:$K$504&lt;&gt;"Cancelada")*(Escaleta!$C$5:$C$504&lt;$A109+Configuración!$C$7/1440)*(Escaleta!$E$5:$E$504&gt;$A109)*ROW(Escaleta!$A$5:$A$504))))</f>
        <v/>
      </c>
      <c r="N109" s="50">
        <f>IF(OR($A109="",D$6=""),0,SUMPRODUCT(MAX((Escaleta!$A$5:$A$504=$B$4)*(Escaleta!$H$5:$H$504=D$6)*(Escaleta!$K$5:$K$504&lt;&gt;"Cancelada")*(Escaleta!$C$5:$C$504&lt;$A109+Configuración!$C$7/1440)*(Escaleta!$E$5:$E$504&gt;$A109)*ROW(Escaleta!$A$5:$A$504))))</f>
        <v/>
      </c>
      <c r="O109" s="50">
        <f>IF(OR($A109="",E$6=""),0,SUMPRODUCT(MAX((Escaleta!$A$5:$A$504=$B$4)*(Escaleta!$H$5:$H$504=E$6)*(Escaleta!$K$5:$K$504&lt;&gt;"Cancelada")*(Escaleta!$C$5:$C$504&lt;$A109+Configuración!$C$7/1440)*(Escaleta!$E$5:$E$504&gt;$A109)*ROW(Escaleta!$A$5:$A$504))))</f>
        <v/>
      </c>
      <c r="P109" s="50">
        <f>IF(OR($A109="",F$6=""),0,SUMPRODUCT(MAX((Escaleta!$A$5:$A$504=$B$4)*(Escaleta!$H$5:$H$504=F$6)*(Escaleta!$K$5:$K$504&lt;&gt;"Cancelada")*(Escaleta!$C$5:$C$504&lt;$A109+Configuración!$C$7/1440)*(Escaleta!$E$5:$E$504&gt;$A109)*ROW(Escaleta!$A$5:$A$504))))</f>
        <v/>
      </c>
      <c r="Q109" s="50">
        <f>IF(OR($A109="",G$6=""),0,SUMPRODUCT(MAX((Escaleta!$A$5:$A$504=$B$4)*(Escaleta!$H$5:$H$504=G$6)*(Escaleta!$K$5:$K$504&lt;&gt;"Cancelada")*(Escaleta!$C$5:$C$504&lt;$A109+Configuración!$C$7/1440)*(Escaleta!$E$5:$E$504&gt;$A109)*ROW(Escaleta!$A$5:$A$504))))</f>
        <v/>
      </c>
      <c r="R109" s="50">
        <f>IF(OR($A109="",H$6=""),0,SUMPRODUCT(MAX((Escaleta!$A$5:$A$504=$B$4)*(Escaleta!$H$5:$H$504=H$6)*(Escaleta!$K$5:$K$504&lt;&gt;"Cancelada")*(Escaleta!$C$5:$C$504&lt;$A109+Configuración!$C$7/1440)*(Escaleta!$E$5:$E$504&gt;$A109)*ROW(Escaleta!$A$5:$A$504))))</f>
        <v/>
      </c>
      <c r="S109" s="50">
        <f>IF(OR($A109="",I$6=""),0,SUMPRODUCT(MAX((Escaleta!$A$5:$A$504=$B$4)*(Escaleta!$H$5:$H$504=I$6)*(Escaleta!$K$5:$K$504&lt;&gt;"Cancelada")*(Escaleta!$C$5:$C$504&lt;$A109+Configuración!$C$7/1440)*(Escaleta!$E$5:$E$504&gt;$A109)*ROW(Escaleta!$A$5:$A$504))))</f>
        <v/>
      </c>
      <c r="U109" s="50">
        <f>IF(L109=0,"",INDEX(Escaleta!$I$1:$I$504,L109))</f>
        <v/>
      </c>
      <c r="V109" s="50">
        <f>IF(M109=0,"",INDEX(Escaleta!$I$1:$I$504,M109))</f>
        <v/>
      </c>
      <c r="W109" s="50">
        <f>IF(N109=0,"",INDEX(Escaleta!$I$1:$I$504,N109))</f>
        <v/>
      </c>
      <c r="X109" s="50">
        <f>IF(O109=0,"",INDEX(Escaleta!$I$1:$I$504,O109))</f>
        <v/>
      </c>
      <c r="Y109" s="50">
        <f>IF(P109=0,"",INDEX(Escaleta!$I$1:$I$504,P109))</f>
        <v/>
      </c>
      <c r="Z109" s="50">
        <f>IF(Q109=0,"",INDEX(Escaleta!$I$1:$I$504,Q109))</f>
        <v/>
      </c>
      <c r="AA109" s="50">
        <f>IF(R109=0,"",INDEX(Escaleta!$I$1:$I$504,R109))</f>
        <v/>
      </c>
      <c r="AB109" s="50">
        <f>IF(S109=0,"",INDEX(Escaleta!$I$1:$I$504,S109))</f>
        <v/>
      </c>
    </row>
    <row r="110" ht="18" customHeight="1">
      <c r="A110" s="48">
        <f>IF(A109="","",IF(A109+Configuración!$C$7/1440&gt;Configuración!$C$6-0.0001,"",A109+Configuración!$C$7/1440))</f>
        <v/>
      </c>
      <c r="B110" s="49">
        <f>IF(L110=0,"",IF(L110&lt;&gt;L109,INDEX(Escaleta!$F$1:$F$504,L110),IF(L110&lt;&gt;L108,TEXT(INDEX(Escaleta!$C$1:$C$504,L110),"hh:mm")&amp;"–"&amp;TEXT(INDEX(Escaleta!$E$1:$E$504,L110),"hh:mm"),"")))</f>
        <v/>
      </c>
      <c r="C110" s="49">
        <f>IF(M110=0,"",IF(M110&lt;&gt;M109,INDEX(Escaleta!$F$1:$F$504,M110),IF(M110&lt;&gt;M108,TEXT(INDEX(Escaleta!$C$1:$C$504,M110),"hh:mm")&amp;"–"&amp;TEXT(INDEX(Escaleta!$E$1:$E$504,M110),"hh:mm"),"")))</f>
        <v/>
      </c>
      <c r="D110" s="49">
        <f>IF(N110=0,"",IF(N110&lt;&gt;N109,INDEX(Escaleta!$F$1:$F$504,N110),IF(N110&lt;&gt;N108,TEXT(INDEX(Escaleta!$C$1:$C$504,N110),"hh:mm")&amp;"–"&amp;TEXT(INDEX(Escaleta!$E$1:$E$504,N110),"hh:mm"),"")))</f>
        <v/>
      </c>
      <c r="E110" s="49">
        <f>IF(O110=0,"",IF(O110&lt;&gt;O109,INDEX(Escaleta!$F$1:$F$504,O110),IF(O110&lt;&gt;O108,TEXT(INDEX(Escaleta!$C$1:$C$504,O110),"hh:mm")&amp;"–"&amp;TEXT(INDEX(Escaleta!$E$1:$E$504,O110),"hh:mm"),"")))</f>
        <v/>
      </c>
      <c r="F110" s="49">
        <f>IF(P110=0,"",IF(P110&lt;&gt;P109,INDEX(Escaleta!$F$1:$F$504,P110),IF(P110&lt;&gt;P108,TEXT(INDEX(Escaleta!$C$1:$C$504,P110),"hh:mm")&amp;"–"&amp;TEXT(INDEX(Escaleta!$E$1:$E$504,P110),"hh:mm"),"")))</f>
        <v/>
      </c>
      <c r="G110" s="49">
        <f>IF(Q110=0,"",IF(Q110&lt;&gt;Q109,INDEX(Escaleta!$F$1:$F$504,Q110),IF(Q110&lt;&gt;Q108,TEXT(INDEX(Escaleta!$C$1:$C$504,Q110),"hh:mm")&amp;"–"&amp;TEXT(INDEX(Escaleta!$E$1:$E$504,Q110),"hh:mm"),"")))</f>
        <v/>
      </c>
      <c r="H110" s="49">
        <f>IF(R110=0,"",IF(R110&lt;&gt;R109,INDEX(Escaleta!$F$1:$F$504,R110),IF(R110&lt;&gt;R108,TEXT(INDEX(Escaleta!$C$1:$C$504,R110),"hh:mm")&amp;"–"&amp;TEXT(INDEX(Escaleta!$E$1:$E$504,R110),"hh:mm"),"")))</f>
        <v/>
      </c>
      <c r="I110" s="49">
        <f>IF(S110=0,"",IF(S110&lt;&gt;S109,INDEX(Escaleta!$F$1:$F$504,S110),IF(S110&lt;&gt;S108,TEXT(INDEX(Escaleta!$C$1:$C$504,S110),"hh:mm")&amp;"–"&amp;TEXT(INDEX(Escaleta!$E$1:$E$504,S110),"hh:mm"),"")))</f>
        <v/>
      </c>
      <c r="L110" s="50">
        <f>IF(OR($A110="",B$6=""),0,SUMPRODUCT(MAX((Escaleta!$A$5:$A$504=$B$4)*(Escaleta!$H$5:$H$504=B$6)*(Escaleta!$K$5:$K$504&lt;&gt;"Cancelada")*(Escaleta!$C$5:$C$504&lt;$A110+Configuración!$C$7/1440)*(Escaleta!$E$5:$E$504&gt;$A110)*ROW(Escaleta!$A$5:$A$504))))</f>
        <v/>
      </c>
      <c r="M110" s="50">
        <f>IF(OR($A110="",C$6=""),0,SUMPRODUCT(MAX((Escaleta!$A$5:$A$504=$B$4)*(Escaleta!$H$5:$H$504=C$6)*(Escaleta!$K$5:$K$504&lt;&gt;"Cancelada")*(Escaleta!$C$5:$C$504&lt;$A110+Configuración!$C$7/1440)*(Escaleta!$E$5:$E$504&gt;$A110)*ROW(Escaleta!$A$5:$A$504))))</f>
        <v/>
      </c>
      <c r="N110" s="50">
        <f>IF(OR($A110="",D$6=""),0,SUMPRODUCT(MAX((Escaleta!$A$5:$A$504=$B$4)*(Escaleta!$H$5:$H$504=D$6)*(Escaleta!$K$5:$K$504&lt;&gt;"Cancelada")*(Escaleta!$C$5:$C$504&lt;$A110+Configuración!$C$7/1440)*(Escaleta!$E$5:$E$504&gt;$A110)*ROW(Escaleta!$A$5:$A$504))))</f>
        <v/>
      </c>
      <c r="O110" s="50">
        <f>IF(OR($A110="",E$6=""),0,SUMPRODUCT(MAX((Escaleta!$A$5:$A$504=$B$4)*(Escaleta!$H$5:$H$504=E$6)*(Escaleta!$K$5:$K$504&lt;&gt;"Cancelada")*(Escaleta!$C$5:$C$504&lt;$A110+Configuración!$C$7/1440)*(Escaleta!$E$5:$E$504&gt;$A110)*ROW(Escaleta!$A$5:$A$504))))</f>
        <v/>
      </c>
      <c r="P110" s="50">
        <f>IF(OR($A110="",F$6=""),0,SUMPRODUCT(MAX((Escaleta!$A$5:$A$504=$B$4)*(Escaleta!$H$5:$H$504=F$6)*(Escaleta!$K$5:$K$504&lt;&gt;"Cancelada")*(Escaleta!$C$5:$C$504&lt;$A110+Configuración!$C$7/1440)*(Escaleta!$E$5:$E$504&gt;$A110)*ROW(Escaleta!$A$5:$A$504))))</f>
        <v/>
      </c>
      <c r="Q110" s="50">
        <f>IF(OR($A110="",G$6=""),0,SUMPRODUCT(MAX((Escaleta!$A$5:$A$504=$B$4)*(Escaleta!$H$5:$H$504=G$6)*(Escaleta!$K$5:$K$504&lt;&gt;"Cancelada")*(Escaleta!$C$5:$C$504&lt;$A110+Configuración!$C$7/1440)*(Escaleta!$E$5:$E$504&gt;$A110)*ROW(Escaleta!$A$5:$A$504))))</f>
        <v/>
      </c>
      <c r="R110" s="50">
        <f>IF(OR($A110="",H$6=""),0,SUMPRODUCT(MAX((Escaleta!$A$5:$A$504=$B$4)*(Escaleta!$H$5:$H$504=H$6)*(Escaleta!$K$5:$K$504&lt;&gt;"Cancelada")*(Escaleta!$C$5:$C$504&lt;$A110+Configuración!$C$7/1440)*(Escaleta!$E$5:$E$504&gt;$A110)*ROW(Escaleta!$A$5:$A$504))))</f>
        <v/>
      </c>
      <c r="S110" s="50">
        <f>IF(OR($A110="",I$6=""),0,SUMPRODUCT(MAX((Escaleta!$A$5:$A$504=$B$4)*(Escaleta!$H$5:$H$504=I$6)*(Escaleta!$K$5:$K$504&lt;&gt;"Cancelada")*(Escaleta!$C$5:$C$504&lt;$A110+Configuración!$C$7/1440)*(Escaleta!$E$5:$E$504&gt;$A110)*ROW(Escaleta!$A$5:$A$504))))</f>
        <v/>
      </c>
      <c r="U110" s="50">
        <f>IF(L110=0,"",INDEX(Escaleta!$I$1:$I$504,L110))</f>
        <v/>
      </c>
      <c r="V110" s="50">
        <f>IF(M110=0,"",INDEX(Escaleta!$I$1:$I$504,M110))</f>
        <v/>
      </c>
      <c r="W110" s="50">
        <f>IF(N110=0,"",INDEX(Escaleta!$I$1:$I$504,N110))</f>
        <v/>
      </c>
      <c r="X110" s="50">
        <f>IF(O110=0,"",INDEX(Escaleta!$I$1:$I$504,O110))</f>
        <v/>
      </c>
      <c r="Y110" s="50">
        <f>IF(P110=0,"",INDEX(Escaleta!$I$1:$I$504,P110))</f>
        <v/>
      </c>
      <c r="Z110" s="50">
        <f>IF(Q110=0,"",INDEX(Escaleta!$I$1:$I$504,Q110))</f>
        <v/>
      </c>
      <c r="AA110" s="50">
        <f>IF(R110=0,"",INDEX(Escaleta!$I$1:$I$504,R110))</f>
        <v/>
      </c>
      <c r="AB110" s="50">
        <f>IF(S110=0,"",INDEX(Escaleta!$I$1:$I$504,S110))</f>
        <v/>
      </c>
    </row>
    <row r="111" ht="18" customHeight="1">
      <c r="A111" s="48">
        <f>IF(A110="","",IF(A110+Configuración!$C$7/1440&gt;Configuración!$C$6-0.0001,"",A110+Configuración!$C$7/1440))</f>
        <v/>
      </c>
      <c r="B111" s="49">
        <f>IF(L111=0,"",IF(L111&lt;&gt;L110,INDEX(Escaleta!$F$1:$F$504,L111),IF(L111&lt;&gt;L109,TEXT(INDEX(Escaleta!$C$1:$C$504,L111),"hh:mm")&amp;"–"&amp;TEXT(INDEX(Escaleta!$E$1:$E$504,L111),"hh:mm"),"")))</f>
        <v/>
      </c>
      <c r="C111" s="49">
        <f>IF(M111=0,"",IF(M111&lt;&gt;M110,INDEX(Escaleta!$F$1:$F$504,M111),IF(M111&lt;&gt;M109,TEXT(INDEX(Escaleta!$C$1:$C$504,M111),"hh:mm")&amp;"–"&amp;TEXT(INDEX(Escaleta!$E$1:$E$504,M111),"hh:mm"),"")))</f>
        <v/>
      </c>
      <c r="D111" s="49">
        <f>IF(N111=0,"",IF(N111&lt;&gt;N110,INDEX(Escaleta!$F$1:$F$504,N111),IF(N111&lt;&gt;N109,TEXT(INDEX(Escaleta!$C$1:$C$504,N111),"hh:mm")&amp;"–"&amp;TEXT(INDEX(Escaleta!$E$1:$E$504,N111),"hh:mm"),"")))</f>
        <v/>
      </c>
      <c r="E111" s="49">
        <f>IF(O111=0,"",IF(O111&lt;&gt;O110,INDEX(Escaleta!$F$1:$F$504,O111),IF(O111&lt;&gt;O109,TEXT(INDEX(Escaleta!$C$1:$C$504,O111),"hh:mm")&amp;"–"&amp;TEXT(INDEX(Escaleta!$E$1:$E$504,O111),"hh:mm"),"")))</f>
        <v/>
      </c>
      <c r="F111" s="49">
        <f>IF(P111=0,"",IF(P111&lt;&gt;P110,INDEX(Escaleta!$F$1:$F$504,P111),IF(P111&lt;&gt;P109,TEXT(INDEX(Escaleta!$C$1:$C$504,P111),"hh:mm")&amp;"–"&amp;TEXT(INDEX(Escaleta!$E$1:$E$504,P111),"hh:mm"),"")))</f>
        <v/>
      </c>
      <c r="G111" s="49">
        <f>IF(Q111=0,"",IF(Q111&lt;&gt;Q110,INDEX(Escaleta!$F$1:$F$504,Q111),IF(Q111&lt;&gt;Q109,TEXT(INDEX(Escaleta!$C$1:$C$504,Q111),"hh:mm")&amp;"–"&amp;TEXT(INDEX(Escaleta!$E$1:$E$504,Q111),"hh:mm"),"")))</f>
        <v/>
      </c>
      <c r="H111" s="49">
        <f>IF(R111=0,"",IF(R111&lt;&gt;R110,INDEX(Escaleta!$F$1:$F$504,R111),IF(R111&lt;&gt;R109,TEXT(INDEX(Escaleta!$C$1:$C$504,R111),"hh:mm")&amp;"–"&amp;TEXT(INDEX(Escaleta!$E$1:$E$504,R111),"hh:mm"),"")))</f>
        <v/>
      </c>
      <c r="I111" s="49">
        <f>IF(S111=0,"",IF(S111&lt;&gt;S110,INDEX(Escaleta!$F$1:$F$504,S111),IF(S111&lt;&gt;S109,TEXT(INDEX(Escaleta!$C$1:$C$504,S111),"hh:mm")&amp;"–"&amp;TEXT(INDEX(Escaleta!$E$1:$E$504,S111),"hh:mm"),"")))</f>
        <v/>
      </c>
      <c r="L111" s="50">
        <f>IF(OR($A111="",B$6=""),0,SUMPRODUCT(MAX((Escaleta!$A$5:$A$504=$B$4)*(Escaleta!$H$5:$H$504=B$6)*(Escaleta!$K$5:$K$504&lt;&gt;"Cancelada")*(Escaleta!$C$5:$C$504&lt;$A111+Configuración!$C$7/1440)*(Escaleta!$E$5:$E$504&gt;$A111)*ROW(Escaleta!$A$5:$A$504))))</f>
        <v/>
      </c>
      <c r="M111" s="50">
        <f>IF(OR($A111="",C$6=""),0,SUMPRODUCT(MAX((Escaleta!$A$5:$A$504=$B$4)*(Escaleta!$H$5:$H$504=C$6)*(Escaleta!$K$5:$K$504&lt;&gt;"Cancelada")*(Escaleta!$C$5:$C$504&lt;$A111+Configuración!$C$7/1440)*(Escaleta!$E$5:$E$504&gt;$A111)*ROW(Escaleta!$A$5:$A$504))))</f>
        <v/>
      </c>
      <c r="N111" s="50">
        <f>IF(OR($A111="",D$6=""),0,SUMPRODUCT(MAX((Escaleta!$A$5:$A$504=$B$4)*(Escaleta!$H$5:$H$504=D$6)*(Escaleta!$K$5:$K$504&lt;&gt;"Cancelada")*(Escaleta!$C$5:$C$504&lt;$A111+Configuración!$C$7/1440)*(Escaleta!$E$5:$E$504&gt;$A111)*ROW(Escaleta!$A$5:$A$504))))</f>
        <v/>
      </c>
      <c r="O111" s="50">
        <f>IF(OR($A111="",E$6=""),0,SUMPRODUCT(MAX((Escaleta!$A$5:$A$504=$B$4)*(Escaleta!$H$5:$H$504=E$6)*(Escaleta!$K$5:$K$504&lt;&gt;"Cancelada")*(Escaleta!$C$5:$C$504&lt;$A111+Configuración!$C$7/1440)*(Escaleta!$E$5:$E$504&gt;$A111)*ROW(Escaleta!$A$5:$A$504))))</f>
        <v/>
      </c>
      <c r="P111" s="50">
        <f>IF(OR($A111="",F$6=""),0,SUMPRODUCT(MAX((Escaleta!$A$5:$A$504=$B$4)*(Escaleta!$H$5:$H$504=F$6)*(Escaleta!$K$5:$K$504&lt;&gt;"Cancelada")*(Escaleta!$C$5:$C$504&lt;$A111+Configuración!$C$7/1440)*(Escaleta!$E$5:$E$504&gt;$A111)*ROW(Escaleta!$A$5:$A$504))))</f>
        <v/>
      </c>
      <c r="Q111" s="50">
        <f>IF(OR($A111="",G$6=""),0,SUMPRODUCT(MAX((Escaleta!$A$5:$A$504=$B$4)*(Escaleta!$H$5:$H$504=G$6)*(Escaleta!$K$5:$K$504&lt;&gt;"Cancelada")*(Escaleta!$C$5:$C$504&lt;$A111+Configuración!$C$7/1440)*(Escaleta!$E$5:$E$504&gt;$A111)*ROW(Escaleta!$A$5:$A$504))))</f>
        <v/>
      </c>
      <c r="R111" s="50">
        <f>IF(OR($A111="",H$6=""),0,SUMPRODUCT(MAX((Escaleta!$A$5:$A$504=$B$4)*(Escaleta!$H$5:$H$504=H$6)*(Escaleta!$K$5:$K$504&lt;&gt;"Cancelada")*(Escaleta!$C$5:$C$504&lt;$A111+Configuración!$C$7/1440)*(Escaleta!$E$5:$E$504&gt;$A111)*ROW(Escaleta!$A$5:$A$504))))</f>
        <v/>
      </c>
      <c r="S111" s="50">
        <f>IF(OR($A111="",I$6=""),0,SUMPRODUCT(MAX((Escaleta!$A$5:$A$504=$B$4)*(Escaleta!$H$5:$H$504=I$6)*(Escaleta!$K$5:$K$504&lt;&gt;"Cancelada")*(Escaleta!$C$5:$C$504&lt;$A111+Configuración!$C$7/1440)*(Escaleta!$E$5:$E$504&gt;$A111)*ROW(Escaleta!$A$5:$A$504))))</f>
        <v/>
      </c>
      <c r="U111" s="50">
        <f>IF(L111=0,"",INDEX(Escaleta!$I$1:$I$504,L111))</f>
        <v/>
      </c>
      <c r="V111" s="50">
        <f>IF(M111=0,"",INDEX(Escaleta!$I$1:$I$504,M111))</f>
        <v/>
      </c>
      <c r="W111" s="50">
        <f>IF(N111=0,"",INDEX(Escaleta!$I$1:$I$504,N111))</f>
        <v/>
      </c>
      <c r="X111" s="50">
        <f>IF(O111=0,"",INDEX(Escaleta!$I$1:$I$504,O111))</f>
        <v/>
      </c>
      <c r="Y111" s="50">
        <f>IF(P111=0,"",INDEX(Escaleta!$I$1:$I$504,P111))</f>
        <v/>
      </c>
      <c r="Z111" s="50">
        <f>IF(Q111=0,"",INDEX(Escaleta!$I$1:$I$504,Q111))</f>
        <v/>
      </c>
      <c r="AA111" s="50">
        <f>IF(R111=0,"",INDEX(Escaleta!$I$1:$I$504,R111))</f>
        <v/>
      </c>
      <c r="AB111" s="50">
        <f>IF(S111=0,"",INDEX(Escaleta!$I$1:$I$504,S111))</f>
        <v/>
      </c>
    </row>
    <row r="112" ht="18" customHeight="1">
      <c r="A112" s="48">
        <f>IF(A111="","",IF(A111+Configuración!$C$7/1440&gt;Configuración!$C$6-0.0001,"",A111+Configuración!$C$7/1440))</f>
        <v/>
      </c>
      <c r="B112" s="49">
        <f>IF(L112=0,"",IF(L112&lt;&gt;L111,INDEX(Escaleta!$F$1:$F$504,L112),IF(L112&lt;&gt;L110,TEXT(INDEX(Escaleta!$C$1:$C$504,L112),"hh:mm")&amp;"–"&amp;TEXT(INDEX(Escaleta!$E$1:$E$504,L112),"hh:mm"),"")))</f>
        <v/>
      </c>
      <c r="C112" s="49">
        <f>IF(M112=0,"",IF(M112&lt;&gt;M111,INDEX(Escaleta!$F$1:$F$504,M112),IF(M112&lt;&gt;M110,TEXT(INDEX(Escaleta!$C$1:$C$504,M112),"hh:mm")&amp;"–"&amp;TEXT(INDEX(Escaleta!$E$1:$E$504,M112),"hh:mm"),"")))</f>
        <v/>
      </c>
      <c r="D112" s="49">
        <f>IF(N112=0,"",IF(N112&lt;&gt;N111,INDEX(Escaleta!$F$1:$F$504,N112),IF(N112&lt;&gt;N110,TEXT(INDEX(Escaleta!$C$1:$C$504,N112),"hh:mm")&amp;"–"&amp;TEXT(INDEX(Escaleta!$E$1:$E$504,N112),"hh:mm"),"")))</f>
        <v/>
      </c>
      <c r="E112" s="49">
        <f>IF(O112=0,"",IF(O112&lt;&gt;O111,INDEX(Escaleta!$F$1:$F$504,O112),IF(O112&lt;&gt;O110,TEXT(INDEX(Escaleta!$C$1:$C$504,O112),"hh:mm")&amp;"–"&amp;TEXT(INDEX(Escaleta!$E$1:$E$504,O112),"hh:mm"),"")))</f>
        <v/>
      </c>
      <c r="F112" s="49">
        <f>IF(P112=0,"",IF(P112&lt;&gt;P111,INDEX(Escaleta!$F$1:$F$504,P112),IF(P112&lt;&gt;P110,TEXT(INDEX(Escaleta!$C$1:$C$504,P112),"hh:mm")&amp;"–"&amp;TEXT(INDEX(Escaleta!$E$1:$E$504,P112),"hh:mm"),"")))</f>
        <v/>
      </c>
      <c r="G112" s="49">
        <f>IF(Q112=0,"",IF(Q112&lt;&gt;Q111,INDEX(Escaleta!$F$1:$F$504,Q112),IF(Q112&lt;&gt;Q110,TEXT(INDEX(Escaleta!$C$1:$C$504,Q112),"hh:mm")&amp;"–"&amp;TEXT(INDEX(Escaleta!$E$1:$E$504,Q112),"hh:mm"),"")))</f>
        <v/>
      </c>
      <c r="H112" s="49">
        <f>IF(R112=0,"",IF(R112&lt;&gt;R111,INDEX(Escaleta!$F$1:$F$504,R112),IF(R112&lt;&gt;R110,TEXT(INDEX(Escaleta!$C$1:$C$504,R112),"hh:mm")&amp;"–"&amp;TEXT(INDEX(Escaleta!$E$1:$E$504,R112),"hh:mm"),"")))</f>
        <v/>
      </c>
      <c r="I112" s="49">
        <f>IF(S112=0,"",IF(S112&lt;&gt;S111,INDEX(Escaleta!$F$1:$F$504,S112),IF(S112&lt;&gt;S110,TEXT(INDEX(Escaleta!$C$1:$C$504,S112),"hh:mm")&amp;"–"&amp;TEXT(INDEX(Escaleta!$E$1:$E$504,S112),"hh:mm"),"")))</f>
        <v/>
      </c>
      <c r="L112" s="50">
        <f>IF(OR($A112="",B$6=""),0,SUMPRODUCT(MAX((Escaleta!$A$5:$A$504=$B$4)*(Escaleta!$H$5:$H$504=B$6)*(Escaleta!$K$5:$K$504&lt;&gt;"Cancelada")*(Escaleta!$C$5:$C$504&lt;$A112+Configuración!$C$7/1440)*(Escaleta!$E$5:$E$504&gt;$A112)*ROW(Escaleta!$A$5:$A$504))))</f>
        <v/>
      </c>
      <c r="M112" s="50">
        <f>IF(OR($A112="",C$6=""),0,SUMPRODUCT(MAX((Escaleta!$A$5:$A$504=$B$4)*(Escaleta!$H$5:$H$504=C$6)*(Escaleta!$K$5:$K$504&lt;&gt;"Cancelada")*(Escaleta!$C$5:$C$504&lt;$A112+Configuración!$C$7/1440)*(Escaleta!$E$5:$E$504&gt;$A112)*ROW(Escaleta!$A$5:$A$504))))</f>
        <v/>
      </c>
      <c r="N112" s="50">
        <f>IF(OR($A112="",D$6=""),0,SUMPRODUCT(MAX((Escaleta!$A$5:$A$504=$B$4)*(Escaleta!$H$5:$H$504=D$6)*(Escaleta!$K$5:$K$504&lt;&gt;"Cancelada")*(Escaleta!$C$5:$C$504&lt;$A112+Configuración!$C$7/1440)*(Escaleta!$E$5:$E$504&gt;$A112)*ROW(Escaleta!$A$5:$A$504))))</f>
        <v/>
      </c>
      <c r="O112" s="50">
        <f>IF(OR($A112="",E$6=""),0,SUMPRODUCT(MAX((Escaleta!$A$5:$A$504=$B$4)*(Escaleta!$H$5:$H$504=E$6)*(Escaleta!$K$5:$K$504&lt;&gt;"Cancelada")*(Escaleta!$C$5:$C$504&lt;$A112+Configuración!$C$7/1440)*(Escaleta!$E$5:$E$504&gt;$A112)*ROW(Escaleta!$A$5:$A$504))))</f>
        <v/>
      </c>
      <c r="P112" s="50">
        <f>IF(OR($A112="",F$6=""),0,SUMPRODUCT(MAX((Escaleta!$A$5:$A$504=$B$4)*(Escaleta!$H$5:$H$504=F$6)*(Escaleta!$K$5:$K$504&lt;&gt;"Cancelada")*(Escaleta!$C$5:$C$504&lt;$A112+Configuración!$C$7/1440)*(Escaleta!$E$5:$E$504&gt;$A112)*ROW(Escaleta!$A$5:$A$504))))</f>
        <v/>
      </c>
      <c r="Q112" s="50">
        <f>IF(OR($A112="",G$6=""),0,SUMPRODUCT(MAX((Escaleta!$A$5:$A$504=$B$4)*(Escaleta!$H$5:$H$504=G$6)*(Escaleta!$K$5:$K$504&lt;&gt;"Cancelada")*(Escaleta!$C$5:$C$504&lt;$A112+Configuración!$C$7/1440)*(Escaleta!$E$5:$E$504&gt;$A112)*ROW(Escaleta!$A$5:$A$504))))</f>
        <v/>
      </c>
      <c r="R112" s="50">
        <f>IF(OR($A112="",H$6=""),0,SUMPRODUCT(MAX((Escaleta!$A$5:$A$504=$B$4)*(Escaleta!$H$5:$H$504=H$6)*(Escaleta!$K$5:$K$504&lt;&gt;"Cancelada")*(Escaleta!$C$5:$C$504&lt;$A112+Configuración!$C$7/1440)*(Escaleta!$E$5:$E$504&gt;$A112)*ROW(Escaleta!$A$5:$A$504))))</f>
        <v/>
      </c>
      <c r="S112" s="50">
        <f>IF(OR($A112="",I$6=""),0,SUMPRODUCT(MAX((Escaleta!$A$5:$A$504=$B$4)*(Escaleta!$H$5:$H$504=I$6)*(Escaleta!$K$5:$K$504&lt;&gt;"Cancelada")*(Escaleta!$C$5:$C$504&lt;$A112+Configuración!$C$7/1440)*(Escaleta!$E$5:$E$504&gt;$A112)*ROW(Escaleta!$A$5:$A$504))))</f>
        <v/>
      </c>
      <c r="U112" s="50">
        <f>IF(L112=0,"",INDEX(Escaleta!$I$1:$I$504,L112))</f>
        <v/>
      </c>
      <c r="V112" s="50">
        <f>IF(M112=0,"",INDEX(Escaleta!$I$1:$I$504,M112))</f>
        <v/>
      </c>
      <c r="W112" s="50">
        <f>IF(N112=0,"",INDEX(Escaleta!$I$1:$I$504,N112))</f>
        <v/>
      </c>
      <c r="X112" s="50">
        <f>IF(O112=0,"",INDEX(Escaleta!$I$1:$I$504,O112))</f>
        <v/>
      </c>
      <c r="Y112" s="50">
        <f>IF(P112=0,"",INDEX(Escaleta!$I$1:$I$504,P112))</f>
        <v/>
      </c>
      <c r="Z112" s="50">
        <f>IF(Q112=0,"",INDEX(Escaleta!$I$1:$I$504,Q112))</f>
        <v/>
      </c>
      <c r="AA112" s="50">
        <f>IF(R112=0,"",INDEX(Escaleta!$I$1:$I$504,R112))</f>
        <v/>
      </c>
      <c r="AB112" s="50">
        <f>IF(S112=0,"",INDEX(Escaleta!$I$1:$I$504,S112))</f>
        <v/>
      </c>
    </row>
    <row r="113" ht="18" customHeight="1">
      <c r="A113" s="48">
        <f>IF(A112="","",IF(A112+Configuración!$C$7/1440&gt;Configuración!$C$6-0.0001,"",A112+Configuración!$C$7/1440))</f>
        <v/>
      </c>
      <c r="B113" s="49">
        <f>IF(L113=0,"",IF(L113&lt;&gt;L112,INDEX(Escaleta!$F$1:$F$504,L113),IF(L113&lt;&gt;L111,TEXT(INDEX(Escaleta!$C$1:$C$504,L113),"hh:mm")&amp;"–"&amp;TEXT(INDEX(Escaleta!$E$1:$E$504,L113),"hh:mm"),"")))</f>
        <v/>
      </c>
      <c r="C113" s="49">
        <f>IF(M113=0,"",IF(M113&lt;&gt;M112,INDEX(Escaleta!$F$1:$F$504,M113),IF(M113&lt;&gt;M111,TEXT(INDEX(Escaleta!$C$1:$C$504,M113),"hh:mm")&amp;"–"&amp;TEXT(INDEX(Escaleta!$E$1:$E$504,M113),"hh:mm"),"")))</f>
        <v/>
      </c>
      <c r="D113" s="49">
        <f>IF(N113=0,"",IF(N113&lt;&gt;N112,INDEX(Escaleta!$F$1:$F$504,N113),IF(N113&lt;&gt;N111,TEXT(INDEX(Escaleta!$C$1:$C$504,N113),"hh:mm")&amp;"–"&amp;TEXT(INDEX(Escaleta!$E$1:$E$504,N113),"hh:mm"),"")))</f>
        <v/>
      </c>
      <c r="E113" s="49">
        <f>IF(O113=0,"",IF(O113&lt;&gt;O112,INDEX(Escaleta!$F$1:$F$504,O113),IF(O113&lt;&gt;O111,TEXT(INDEX(Escaleta!$C$1:$C$504,O113),"hh:mm")&amp;"–"&amp;TEXT(INDEX(Escaleta!$E$1:$E$504,O113),"hh:mm"),"")))</f>
        <v/>
      </c>
      <c r="F113" s="49">
        <f>IF(P113=0,"",IF(P113&lt;&gt;P112,INDEX(Escaleta!$F$1:$F$504,P113),IF(P113&lt;&gt;P111,TEXT(INDEX(Escaleta!$C$1:$C$504,P113),"hh:mm")&amp;"–"&amp;TEXT(INDEX(Escaleta!$E$1:$E$504,P113),"hh:mm"),"")))</f>
        <v/>
      </c>
      <c r="G113" s="49">
        <f>IF(Q113=0,"",IF(Q113&lt;&gt;Q112,INDEX(Escaleta!$F$1:$F$504,Q113),IF(Q113&lt;&gt;Q111,TEXT(INDEX(Escaleta!$C$1:$C$504,Q113),"hh:mm")&amp;"–"&amp;TEXT(INDEX(Escaleta!$E$1:$E$504,Q113),"hh:mm"),"")))</f>
        <v/>
      </c>
      <c r="H113" s="49">
        <f>IF(R113=0,"",IF(R113&lt;&gt;R112,INDEX(Escaleta!$F$1:$F$504,R113),IF(R113&lt;&gt;R111,TEXT(INDEX(Escaleta!$C$1:$C$504,R113),"hh:mm")&amp;"–"&amp;TEXT(INDEX(Escaleta!$E$1:$E$504,R113),"hh:mm"),"")))</f>
        <v/>
      </c>
      <c r="I113" s="49">
        <f>IF(S113=0,"",IF(S113&lt;&gt;S112,INDEX(Escaleta!$F$1:$F$504,S113),IF(S113&lt;&gt;S111,TEXT(INDEX(Escaleta!$C$1:$C$504,S113),"hh:mm")&amp;"–"&amp;TEXT(INDEX(Escaleta!$E$1:$E$504,S113),"hh:mm"),"")))</f>
        <v/>
      </c>
      <c r="L113" s="50">
        <f>IF(OR($A113="",B$6=""),0,SUMPRODUCT(MAX((Escaleta!$A$5:$A$504=$B$4)*(Escaleta!$H$5:$H$504=B$6)*(Escaleta!$K$5:$K$504&lt;&gt;"Cancelada")*(Escaleta!$C$5:$C$504&lt;$A113+Configuración!$C$7/1440)*(Escaleta!$E$5:$E$504&gt;$A113)*ROW(Escaleta!$A$5:$A$504))))</f>
        <v/>
      </c>
      <c r="M113" s="50">
        <f>IF(OR($A113="",C$6=""),0,SUMPRODUCT(MAX((Escaleta!$A$5:$A$504=$B$4)*(Escaleta!$H$5:$H$504=C$6)*(Escaleta!$K$5:$K$504&lt;&gt;"Cancelada")*(Escaleta!$C$5:$C$504&lt;$A113+Configuración!$C$7/1440)*(Escaleta!$E$5:$E$504&gt;$A113)*ROW(Escaleta!$A$5:$A$504))))</f>
        <v/>
      </c>
      <c r="N113" s="50">
        <f>IF(OR($A113="",D$6=""),0,SUMPRODUCT(MAX((Escaleta!$A$5:$A$504=$B$4)*(Escaleta!$H$5:$H$504=D$6)*(Escaleta!$K$5:$K$504&lt;&gt;"Cancelada")*(Escaleta!$C$5:$C$504&lt;$A113+Configuración!$C$7/1440)*(Escaleta!$E$5:$E$504&gt;$A113)*ROW(Escaleta!$A$5:$A$504))))</f>
        <v/>
      </c>
      <c r="O113" s="50">
        <f>IF(OR($A113="",E$6=""),0,SUMPRODUCT(MAX((Escaleta!$A$5:$A$504=$B$4)*(Escaleta!$H$5:$H$504=E$6)*(Escaleta!$K$5:$K$504&lt;&gt;"Cancelada")*(Escaleta!$C$5:$C$504&lt;$A113+Configuración!$C$7/1440)*(Escaleta!$E$5:$E$504&gt;$A113)*ROW(Escaleta!$A$5:$A$504))))</f>
        <v/>
      </c>
      <c r="P113" s="50">
        <f>IF(OR($A113="",F$6=""),0,SUMPRODUCT(MAX((Escaleta!$A$5:$A$504=$B$4)*(Escaleta!$H$5:$H$504=F$6)*(Escaleta!$K$5:$K$504&lt;&gt;"Cancelada")*(Escaleta!$C$5:$C$504&lt;$A113+Configuración!$C$7/1440)*(Escaleta!$E$5:$E$504&gt;$A113)*ROW(Escaleta!$A$5:$A$504))))</f>
        <v/>
      </c>
      <c r="Q113" s="50">
        <f>IF(OR($A113="",G$6=""),0,SUMPRODUCT(MAX((Escaleta!$A$5:$A$504=$B$4)*(Escaleta!$H$5:$H$504=G$6)*(Escaleta!$K$5:$K$504&lt;&gt;"Cancelada")*(Escaleta!$C$5:$C$504&lt;$A113+Configuración!$C$7/1440)*(Escaleta!$E$5:$E$504&gt;$A113)*ROW(Escaleta!$A$5:$A$504))))</f>
        <v/>
      </c>
      <c r="R113" s="50">
        <f>IF(OR($A113="",H$6=""),0,SUMPRODUCT(MAX((Escaleta!$A$5:$A$504=$B$4)*(Escaleta!$H$5:$H$504=H$6)*(Escaleta!$K$5:$K$504&lt;&gt;"Cancelada")*(Escaleta!$C$5:$C$504&lt;$A113+Configuración!$C$7/1440)*(Escaleta!$E$5:$E$504&gt;$A113)*ROW(Escaleta!$A$5:$A$504))))</f>
        <v/>
      </c>
      <c r="S113" s="50">
        <f>IF(OR($A113="",I$6=""),0,SUMPRODUCT(MAX((Escaleta!$A$5:$A$504=$B$4)*(Escaleta!$H$5:$H$504=I$6)*(Escaleta!$K$5:$K$504&lt;&gt;"Cancelada")*(Escaleta!$C$5:$C$504&lt;$A113+Configuración!$C$7/1440)*(Escaleta!$E$5:$E$504&gt;$A113)*ROW(Escaleta!$A$5:$A$504))))</f>
        <v/>
      </c>
      <c r="U113" s="50">
        <f>IF(L113=0,"",INDEX(Escaleta!$I$1:$I$504,L113))</f>
        <v/>
      </c>
      <c r="V113" s="50">
        <f>IF(M113=0,"",INDEX(Escaleta!$I$1:$I$504,M113))</f>
        <v/>
      </c>
      <c r="W113" s="50">
        <f>IF(N113=0,"",INDEX(Escaleta!$I$1:$I$504,N113))</f>
        <v/>
      </c>
      <c r="X113" s="50">
        <f>IF(O113=0,"",INDEX(Escaleta!$I$1:$I$504,O113))</f>
        <v/>
      </c>
      <c r="Y113" s="50">
        <f>IF(P113=0,"",INDEX(Escaleta!$I$1:$I$504,P113))</f>
        <v/>
      </c>
      <c r="Z113" s="50">
        <f>IF(Q113=0,"",INDEX(Escaleta!$I$1:$I$504,Q113))</f>
        <v/>
      </c>
      <c r="AA113" s="50">
        <f>IF(R113=0,"",INDEX(Escaleta!$I$1:$I$504,R113))</f>
        <v/>
      </c>
      <c r="AB113" s="50">
        <f>IF(S113=0,"",INDEX(Escaleta!$I$1:$I$504,S113))</f>
        <v/>
      </c>
    </row>
    <row r="114" ht="18" customHeight="1">
      <c r="A114" s="48">
        <f>IF(A113="","",IF(A113+Configuración!$C$7/1440&gt;Configuración!$C$6-0.0001,"",A113+Configuración!$C$7/1440))</f>
        <v/>
      </c>
      <c r="B114" s="49">
        <f>IF(L114=0,"",IF(L114&lt;&gt;L113,INDEX(Escaleta!$F$1:$F$504,L114),IF(L114&lt;&gt;L112,TEXT(INDEX(Escaleta!$C$1:$C$504,L114),"hh:mm")&amp;"–"&amp;TEXT(INDEX(Escaleta!$E$1:$E$504,L114),"hh:mm"),"")))</f>
        <v/>
      </c>
      <c r="C114" s="49">
        <f>IF(M114=0,"",IF(M114&lt;&gt;M113,INDEX(Escaleta!$F$1:$F$504,M114),IF(M114&lt;&gt;M112,TEXT(INDEX(Escaleta!$C$1:$C$504,M114),"hh:mm")&amp;"–"&amp;TEXT(INDEX(Escaleta!$E$1:$E$504,M114),"hh:mm"),"")))</f>
        <v/>
      </c>
      <c r="D114" s="49">
        <f>IF(N114=0,"",IF(N114&lt;&gt;N113,INDEX(Escaleta!$F$1:$F$504,N114),IF(N114&lt;&gt;N112,TEXT(INDEX(Escaleta!$C$1:$C$504,N114),"hh:mm")&amp;"–"&amp;TEXT(INDEX(Escaleta!$E$1:$E$504,N114),"hh:mm"),"")))</f>
        <v/>
      </c>
      <c r="E114" s="49">
        <f>IF(O114=0,"",IF(O114&lt;&gt;O113,INDEX(Escaleta!$F$1:$F$504,O114),IF(O114&lt;&gt;O112,TEXT(INDEX(Escaleta!$C$1:$C$504,O114),"hh:mm")&amp;"–"&amp;TEXT(INDEX(Escaleta!$E$1:$E$504,O114),"hh:mm"),"")))</f>
        <v/>
      </c>
      <c r="F114" s="49">
        <f>IF(P114=0,"",IF(P114&lt;&gt;P113,INDEX(Escaleta!$F$1:$F$504,P114),IF(P114&lt;&gt;P112,TEXT(INDEX(Escaleta!$C$1:$C$504,P114),"hh:mm")&amp;"–"&amp;TEXT(INDEX(Escaleta!$E$1:$E$504,P114),"hh:mm"),"")))</f>
        <v/>
      </c>
      <c r="G114" s="49">
        <f>IF(Q114=0,"",IF(Q114&lt;&gt;Q113,INDEX(Escaleta!$F$1:$F$504,Q114),IF(Q114&lt;&gt;Q112,TEXT(INDEX(Escaleta!$C$1:$C$504,Q114),"hh:mm")&amp;"–"&amp;TEXT(INDEX(Escaleta!$E$1:$E$504,Q114),"hh:mm"),"")))</f>
        <v/>
      </c>
      <c r="H114" s="49">
        <f>IF(R114=0,"",IF(R114&lt;&gt;R113,INDEX(Escaleta!$F$1:$F$504,R114),IF(R114&lt;&gt;R112,TEXT(INDEX(Escaleta!$C$1:$C$504,R114),"hh:mm")&amp;"–"&amp;TEXT(INDEX(Escaleta!$E$1:$E$504,R114),"hh:mm"),"")))</f>
        <v/>
      </c>
      <c r="I114" s="49">
        <f>IF(S114=0,"",IF(S114&lt;&gt;S113,INDEX(Escaleta!$F$1:$F$504,S114),IF(S114&lt;&gt;S112,TEXT(INDEX(Escaleta!$C$1:$C$504,S114),"hh:mm")&amp;"–"&amp;TEXT(INDEX(Escaleta!$E$1:$E$504,S114),"hh:mm"),"")))</f>
        <v/>
      </c>
      <c r="L114" s="50">
        <f>IF(OR($A114="",B$6=""),0,SUMPRODUCT(MAX((Escaleta!$A$5:$A$504=$B$4)*(Escaleta!$H$5:$H$504=B$6)*(Escaleta!$K$5:$K$504&lt;&gt;"Cancelada")*(Escaleta!$C$5:$C$504&lt;$A114+Configuración!$C$7/1440)*(Escaleta!$E$5:$E$504&gt;$A114)*ROW(Escaleta!$A$5:$A$504))))</f>
        <v/>
      </c>
      <c r="M114" s="50">
        <f>IF(OR($A114="",C$6=""),0,SUMPRODUCT(MAX((Escaleta!$A$5:$A$504=$B$4)*(Escaleta!$H$5:$H$504=C$6)*(Escaleta!$K$5:$K$504&lt;&gt;"Cancelada")*(Escaleta!$C$5:$C$504&lt;$A114+Configuración!$C$7/1440)*(Escaleta!$E$5:$E$504&gt;$A114)*ROW(Escaleta!$A$5:$A$504))))</f>
        <v/>
      </c>
      <c r="N114" s="50">
        <f>IF(OR($A114="",D$6=""),0,SUMPRODUCT(MAX((Escaleta!$A$5:$A$504=$B$4)*(Escaleta!$H$5:$H$504=D$6)*(Escaleta!$K$5:$K$504&lt;&gt;"Cancelada")*(Escaleta!$C$5:$C$504&lt;$A114+Configuración!$C$7/1440)*(Escaleta!$E$5:$E$504&gt;$A114)*ROW(Escaleta!$A$5:$A$504))))</f>
        <v/>
      </c>
      <c r="O114" s="50">
        <f>IF(OR($A114="",E$6=""),0,SUMPRODUCT(MAX((Escaleta!$A$5:$A$504=$B$4)*(Escaleta!$H$5:$H$504=E$6)*(Escaleta!$K$5:$K$504&lt;&gt;"Cancelada")*(Escaleta!$C$5:$C$504&lt;$A114+Configuración!$C$7/1440)*(Escaleta!$E$5:$E$504&gt;$A114)*ROW(Escaleta!$A$5:$A$504))))</f>
        <v/>
      </c>
      <c r="P114" s="50">
        <f>IF(OR($A114="",F$6=""),0,SUMPRODUCT(MAX((Escaleta!$A$5:$A$504=$B$4)*(Escaleta!$H$5:$H$504=F$6)*(Escaleta!$K$5:$K$504&lt;&gt;"Cancelada")*(Escaleta!$C$5:$C$504&lt;$A114+Configuración!$C$7/1440)*(Escaleta!$E$5:$E$504&gt;$A114)*ROW(Escaleta!$A$5:$A$504))))</f>
        <v/>
      </c>
      <c r="Q114" s="50">
        <f>IF(OR($A114="",G$6=""),0,SUMPRODUCT(MAX((Escaleta!$A$5:$A$504=$B$4)*(Escaleta!$H$5:$H$504=G$6)*(Escaleta!$K$5:$K$504&lt;&gt;"Cancelada")*(Escaleta!$C$5:$C$504&lt;$A114+Configuración!$C$7/1440)*(Escaleta!$E$5:$E$504&gt;$A114)*ROW(Escaleta!$A$5:$A$504))))</f>
        <v/>
      </c>
      <c r="R114" s="50">
        <f>IF(OR($A114="",H$6=""),0,SUMPRODUCT(MAX((Escaleta!$A$5:$A$504=$B$4)*(Escaleta!$H$5:$H$504=H$6)*(Escaleta!$K$5:$K$504&lt;&gt;"Cancelada")*(Escaleta!$C$5:$C$504&lt;$A114+Configuración!$C$7/1440)*(Escaleta!$E$5:$E$504&gt;$A114)*ROW(Escaleta!$A$5:$A$504))))</f>
        <v/>
      </c>
      <c r="S114" s="50">
        <f>IF(OR($A114="",I$6=""),0,SUMPRODUCT(MAX((Escaleta!$A$5:$A$504=$B$4)*(Escaleta!$H$5:$H$504=I$6)*(Escaleta!$K$5:$K$504&lt;&gt;"Cancelada")*(Escaleta!$C$5:$C$504&lt;$A114+Configuración!$C$7/1440)*(Escaleta!$E$5:$E$504&gt;$A114)*ROW(Escaleta!$A$5:$A$504))))</f>
        <v/>
      </c>
      <c r="U114" s="50">
        <f>IF(L114=0,"",INDEX(Escaleta!$I$1:$I$504,L114))</f>
        <v/>
      </c>
      <c r="V114" s="50">
        <f>IF(M114=0,"",INDEX(Escaleta!$I$1:$I$504,M114))</f>
        <v/>
      </c>
      <c r="W114" s="50">
        <f>IF(N114=0,"",INDEX(Escaleta!$I$1:$I$504,N114))</f>
        <v/>
      </c>
      <c r="X114" s="50">
        <f>IF(O114=0,"",INDEX(Escaleta!$I$1:$I$504,O114))</f>
        <v/>
      </c>
      <c r="Y114" s="50">
        <f>IF(P114=0,"",INDEX(Escaleta!$I$1:$I$504,P114))</f>
        <v/>
      </c>
      <c r="Z114" s="50">
        <f>IF(Q114=0,"",INDEX(Escaleta!$I$1:$I$504,Q114))</f>
        <v/>
      </c>
      <c r="AA114" s="50">
        <f>IF(R114=0,"",INDEX(Escaleta!$I$1:$I$504,R114))</f>
        <v/>
      </c>
      <c r="AB114" s="50">
        <f>IF(S114=0,"",INDEX(Escaleta!$I$1:$I$504,S114))</f>
        <v/>
      </c>
    </row>
    <row r="115" ht="18" customHeight="1">
      <c r="A115" s="48">
        <f>IF(A114="","",IF(A114+Configuración!$C$7/1440&gt;Configuración!$C$6-0.0001,"",A114+Configuración!$C$7/1440))</f>
        <v/>
      </c>
      <c r="B115" s="49">
        <f>IF(L115=0,"",IF(L115&lt;&gt;L114,INDEX(Escaleta!$F$1:$F$504,L115),IF(L115&lt;&gt;L113,TEXT(INDEX(Escaleta!$C$1:$C$504,L115),"hh:mm")&amp;"–"&amp;TEXT(INDEX(Escaleta!$E$1:$E$504,L115),"hh:mm"),"")))</f>
        <v/>
      </c>
      <c r="C115" s="49">
        <f>IF(M115=0,"",IF(M115&lt;&gt;M114,INDEX(Escaleta!$F$1:$F$504,M115),IF(M115&lt;&gt;M113,TEXT(INDEX(Escaleta!$C$1:$C$504,M115),"hh:mm")&amp;"–"&amp;TEXT(INDEX(Escaleta!$E$1:$E$504,M115),"hh:mm"),"")))</f>
        <v/>
      </c>
      <c r="D115" s="49">
        <f>IF(N115=0,"",IF(N115&lt;&gt;N114,INDEX(Escaleta!$F$1:$F$504,N115),IF(N115&lt;&gt;N113,TEXT(INDEX(Escaleta!$C$1:$C$504,N115),"hh:mm")&amp;"–"&amp;TEXT(INDEX(Escaleta!$E$1:$E$504,N115),"hh:mm"),"")))</f>
        <v/>
      </c>
      <c r="E115" s="49">
        <f>IF(O115=0,"",IF(O115&lt;&gt;O114,INDEX(Escaleta!$F$1:$F$504,O115),IF(O115&lt;&gt;O113,TEXT(INDEX(Escaleta!$C$1:$C$504,O115),"hh:mm")&amp;"–"&amp;TEXT(INDEX(Escaleta!$E$1:$E$504,O115),"hh:mm"),"")))</f>
        <v/>
      </c>
      <c r="F115" s="49">
        <f>IF(P115=0,"",IF(P115&lt;&gt;P114,INDEX(Escaleta!$F$1:$F$504,P115),IF(P115&lt;&gt;P113,TEXT(INDEX(Escaleta!$C$1:$C$504,P115),"hh:mm")&amp;"–"&amp;TEXT(INDEX(Escaleta!$E$1:$E$504,P115),"hh:mm"),"")))</f>
        <v/>
      </c>
      <c r="G115" s="49">
        <f>IF(Q115=0,"",IF(Q115&lt;&gt;Q114,INDEX(Escaleta!$F$1:$F$504,Q115),IF(Q115&lt;&gt;Q113,TEXT(INDEX(Escaleta!$C$1:$C$504,Q115),"hh:mm")&amp;"–"&amp;TEXT(INDEX(Escaleta!$E$1:$E$504,Q115),"hh:mm"),"")))</f>
        <v/>
      </c>
      <c r="H115" s="49">
        <f>IF(R115=0,"",IF(R115&lt;&gt;R114,INDEX(Escaleta!$F$1:$F$504,R115),IF(R115&lt;&gt;R113,TEXT(INDEX(Escaleta!$C$1:$C$504,R115),"hh:mm")&amp;"–"&amp;TEXT(INDEX(Escaleta!$E$1:$E$504,R115),"hh:mm"),"")))</f>
        <v/>
      </c>
      <c r="I115" s="49">
        <f>IF(S115=0,"",IF(S115&lt;&gt;S114,INDEX(Escaleta!$F$1:$F$504,S115),IF(S115&lt;&gt;S113,TEXT(INDEX(Escaleta!$C$1:$C$504,S115),"hh:mm")&amp;"–"&amp;TEXT(INDEX(Escaleta!$E$1:$E$504,S115),"hh:mm"),"")))</f>
        <v/>
      </c>
      <c r="L115" s="50">
        <f>IF(OR($A115="",B$6=""),0,SUMPRODUCT(MAX((Escaleta!$A$5:$A$504=$B$4)*(Escaleta!$H$5:$H$504=B$6)*(Escaleta!$K$5:$K$504&lt;&gt;"Cancelada")*(Escaleta!$C$5:$C$504&lt;$A115+Configuración!$C$7/1440)*(Escaleta!$E$5:$E$504&gt;$A115)*ROW(Escaleta!$A$5:$A$504))))</f>
        <v/>
      </c>
      <c r="M115" s="50">
        <f>IF(OR($A115="",C$6=""),0,SUMPRODUCT(MAX((Escaleta!$A$5:$A$504=$B$4)*(Escaleta!$H$5:$H$504=C$6)*(Escaleta!$K$5:$K$504&lt;&gt;"Cancelada")*(Escaleta!$C$5:$C$504&lt;$A115+Configuración!$C$7/1440)*(Escaleta!$E$5:$E$504&gt;$A115)*ROW(Escaleta!$A$5:$A$504))))</f>
        <v/>
      </c>
      <c r="N115" s="50">
        <f>IF(OR($A115="",D$6=""),0,SUMPRODUCT(MAX((Escaleta!$A$5:$A$504=$B$4)*(Escaleta!$H$5:$H$504=D$6)*(Escaleta!$K$5:$K$504&lt;&gt;"Cancelada")*(Escaleta!$C$5:$C$504&lt;$A115+Configuración!$C$7/1440)*(Escaleta!$E$5:$E$504&gt;$A115)*ROW(Escaleta!$A$5:$A$504))))</f>
        <v/>
      </c>
      <c r="O115" s="50">
        <f>IF(OR($A115="",E$6=""),0,SUMPRODUCT(MAX((Escaleta!$A$5:$A$504=$B$4)*(Escaleta!$H$5:$H$504=E$6)*(Escaleta!$K$5:$K$504&lt;&gt;"Cancelada")*(Escaleta!$C$5:$C$504&lt;$A115+Configuración!$C$7/1440)*(Escaleta!$E$5:$E$504&gt;$A115)*ROW(Escaleta!$A$5:$A$504))))</f>
        <v/>
      </c>
      <c r="P115" s="50">
        <f>IF(OR($A115="",F$6=""),0,SUMPRODUCT(MAX((Escaleta!$A$5:$A$504=$B$4)*(Escaleta!$H$5:$H$504=F$6)*(Escaleta!$K$5:$K$504&lt;&gt;"Cancelada")*(Escaleta!$C$5:$C$504&lt;$A115+Configuración!$C$7/1440)*(Escaleta!$E$5:$E$504&gt;$A115)*ROW(Escaleta!$A$5:$A$504))))</f>
        <v/>
      </c>
      <c r="Q115" s="50">
        <f>IF(OR($A115="",G$6=""),0,SUMPRODUCT(MAX((Escaleta!$A$5:$A$504=$B$4)*(Escaleta!$H$5:$H$504=G$6)*(Escaleta!$K$5:$K$504&lt;&gt;"Cancelada")*(Escaleta!$C$5:$C$504&lt;$A115+Configuración!$C$7/1440)*(Escaleta!$E$5:$E$504&gt;$A115)*ROW(Escaleta!$A$5:$A$504))))</f>
        <v/>
      </c>
      <c r="R115" s="50">
        <f>IF(OR($A115="",H$6=""),0,SUMPRODUCT(MAX((Escaleta!$A$5:$A$504=$B$4)*(Escaleta!$H$5:$H$504=H$6)*(Escaleta!$K$5:$K$504&lt;&gt;"Cancelada")*(Escaleta!$C$5:$C$504&lt;$A115+Configuración!$C$7/1440)*(Escaleta!$E$5:$E$504&gt;$A115)*ROW(Escaleta!$A$5:$A$504))))</f>
        <v/>
      </c>
      <c r="S115" s="50">
        <f>IF(OR($A115="",I$6=""),0,SUMPRODUCT(MAX((Escaleta!$A$5:$A$504=$B$4)*(Escaleta!$H$5:$H$504=I$6)*(Escaleta!$K$5:$K$504&lt;&gt;"Cancelada")*(Escaleta!$C$5:$C$504&lt;$A115+Configuración!$C$7/1440)*(Escaleta!$E$5:$E$504&gt;$A115)*ROW(Escaleta!$A$5:$A$504))))</f>
        <v/>
      </c>
      <c r="U115" s="50">
        <f>IF(L115=0,"",INDEX(Escaleta!$I$1:$I$504,L115))</f>
        <v/>
      </c>
      <c r="V115" s="50">
        <f>IF(M115=0,"",INDEX(Escaleta!$I$1:$I$504,M115))</f>
        <v/>
      </c>
      <c r="W115" s="50">
        <f>IF(N115=0,"",INDEX(Escaleta!$I$1:$I$504,N115))</f>
        <v/>
      </c>
      <c r="X115" s="50">
        <f>IF(O115=0,"",INDEX(Escaleta!$I$1:$I$504,O115))</f>
        <v/>
      </c>
      <c r="Y115" s="50">
        <f>IF(P115=0,"",INDEX(Escaleta!$I$1:$I$504,P115))</f>
        <v/>
      </c>
      <c r="Z115" s="50">
        <f>IF(Q115=0,"",INDEX(Escaleta!$I$1:$I$504,Q115))</f>
        <v/>
      </c>
      <c r="AA115" s="50">
        <f>IF(R115=0,"",INDEX(Escaleta!$I$1:$I$504,R115))</f>
        <v/>
      </c>
      <c r="AB115" s="50">
        <f>IF(S115=0,"",INDEX(Escaleta!$I$1:$I$504,S115))</f>
        <v/>
      </c>
    </row>
    <row r="116" ht="18" customHeight="1">
      <c r="A116" s="48">
        <f>IF(A115="","",IF(A115+Configuración!$C$7/1440&gt;Configuración!$C$6-0.0001,"",A115+Configuración!$C$7/1440))</f>
        <v/>
      </c>
      <c r="B116" s="49">
        <f>IF(L116=0,"",IF(L116&lt;&gt;L115,INDEX(Escaleta!$F$1:$F$504,L116),IF(L116&lt;&gt;L114,TEXT(INDEX(Escaleta!$C$1:$C$504,L116),"hh:mm")&amp;"–"&amp;TEXT(INDEX(Escaleta!$E$1:$E$504,L116),"hh:mm"),"")))</f>
        <v/>
      </c>
      <c r="C116" s="49">
        <f>IF(M116=0,"",IF(M116&lt;&gt;M115,INDEX(Escaleta!$F$1:$F$504,M116),IF(M116&lt;&gt;M114,TEXT(INDEX(Escaleta!$C$1:$C$504,M116),"hh:mm")&amp;"–"&amp;TEXT(INDEX(Escaleta!$E$1:$E$504,M116),"hh:mm"),"")))</f>
        <v/>
      </c>
      <c r="D116" s="49">
        <f>IF(N116=0,"",IF(N116&lt;&gt;N115,INDEX(Escaleta!$F$1:$F$504,N116),IF(N116&lt;&gt;N114,TEXT(INDEX(Escaleta!$C$1:$C$504,N116),"hh:mm")&amp;"–"&amp;TEXT(INDEX(Escaleta!$E$1:$E$504,N116),"hh:mm"),"")))</f>
        <v/>
      </c>
      <c r="E116" s="49">
        <f>IF(O116=0,"",IF(O116&lt;&gt;O115,INDEX(Escaleta!$F$1:$F$504,O116),IF(O116&lt;&gt;O114,TEXT(INDEX(Escaleta!$C$1:$C$504,O116),"hh:mm")&amp;"–"&amp;TEXT(INDEX(Escaleta!$E$1:$E$504,O116),"hh:mm"),"")))</f>
        <v/>
      </c>
      <c r="F116" s="49">
        <f>IF(P116=0,"",IF(P116&lt;&gt;P115,INDEX(Escaleta!$F$1:$F$504,P116),IF(P116&lt;&gt;P114,TEXT(INDEX(Escaleta!$C$1:$C$504,P116),"hh:mm")&amp;"–"&amp;TEXT(INDEX(Escaleta!$E$1:$E$504,P116),"hh:mm"),"")))</f>
        <v/>
      </c>
      <c r="G116" s="49">
        <f>IF(Q116=0,"",IF(Q116&lt;&gt;Q115,INDEX(Escaleta!$F$1:$F$504,Q116),IF(Q116&lt;&gt;Q114,TEXT(INDEX(Escaleta!$C$1:$C$504,Q116),"hh:mm")&amp;"–"&amp;TEXT(INDEX(Escaleta!$E$1:$E$504,Q116),"hh:mm"),"")))</f>
        <v/>
      </c>
      <c r="H116" s="49">
        <f>IF(R116=0,"",IF(R116&lt;&gt;R115,INDEX(Escaleta!$F$1:$F$504,R116),IF(R116&lt;&gt;R114,TEXT(INDEX(Escaleta!$C$1:$C$504,R116),"hh:mm")&amp;"–"&amp;TEXT(INDEX(Escaleta!$E$1:$E$504,R116),"hh:mm"),"")))</f>
        <v/>
      </c>
      <c r="I116" s="49">
        <f>IF(S116=0,"",IF(S116&lt;&gt;S115,INDEX(Escaleta!$F$1:$F$504,S116),IF(S116&lt;&gt;S114,TEXT(INDEX(Escaleta!$C$1:$C$504,S116),"hh:mm")&amp;"–"&amp;TEXT(INDEX(Escaleta!$E$1:$E$504,S116),"hh:mm"),"")))</f>
        <v/>
      </c>
      <c r="L116" s="50">
        <f>IF(OR($A116="",B$6=""),0,SUMPRODUCT(MAX((Escaleta!$A$5:$A$504=$B$4)*(Escaleta!$H$5:$H$504=B$6)*(Escaleta!$K$5:$K$504&lt;&gt;"Cancelada")*(Escaleta!$C$5:$C$504&lt;$A116+Configuración!$C$7/1440)*(Escaleta!$E$5:$E$504&gt;$A116)*ROW(Escaleta!$A$5:$A$504))))</f>
        <v/>
      </c>
      <c r="M116" s="50">
        <f>IF(OR($A116="",C$6=""),0,SUMPRODUCT(MAX((Escaleta!$A$5:$A$504=$B$4)*(Escaleta!$H$5:$H$504=C$6)*(Escaleta!$K$5:$K$504&lt;&gt;"Cancelada")*(Escaleta!$C$5:$C$504&lt;$A116+Configuración!$C$7/1440)*(Escaleta!$E$5:$E$504&gt;$A116)*ROW(Escaleta!$A$5:$A$504))))</f>
        <v/>
      </c>
      <c r="N116" s="50">
        <f>IF(OR($A116="",D$6=""),0,SUMPRODUCT(MAX((Escaleta!$A$5:$A$504=$B$4)*(Escaleta!$H$5:$H$504=D$6)*(Escaleta!$K$5:$K$504&lt;&gt;"Cancelada")*(Escaleta!$C$5:$C$504&lt;$A116+Configuración!$C$7/1440)*(Escaleta!$E$5:$E$504&gt;$A116)*ROW(Escaleta!$A$5:$A$504))))</f>
        <v/>
      </c>
      <c r="O116" s="50">
        <f>IF(OR($A116="",E$6=""),0,SUMPRODUCT(MAX((Escaleta!$A$5:$A$504=$B$4)*(Escaleta!$H$5:$H$504=E$6)*(Escaleta!$K$5:$K$504&lt;&gt;"Cancelada")*(Escaleta!$C$5:$C$504&lt;$A116+Configuración!$C$7/1440)*(Escaleta!$E$5:$E$504&gt;$A116)*ROW(Escaleta!$A$5:$A$504))))</f>
        <v/>
      </c>
      <c r="P116" s="50">
        <f>IF(OR($A116="",F$6=""),0,SUMPRODUCT(MAX((Escaleta!$A$5:$A$504=$B$4)*(Escaleta!$H$5:$H$504=F$6)*(Escaleta!$K$5:$K$504&lt;&gt;"Cancelada")*(Escaleta!$C$5:$C$504&lt;$A116+Configuración!$C$7/1440)*(Escaleta!$E$5:$E$504&gt;$A116)*ROW(Escaleta!$A$5:$A$504))))</f>
        <v/>
      </c>
      <c r="Q116" s="50">
        <f>IF(OR($A116="",G$6=""),0,SUMPRODUCT(MAX((Escaleta!$A$5:$A$504=$B$4)*(Escaleta!$H$5:$H$504=G$6)*(Escaleta!$K$5:$K$504&lt;&gt;"Cancelada")*(Escaleta!$C$5:$C$504&lt;$A116+Configuración!$C$7/1440)*(Escaleta!$E$5:$E$504&gt;$A116)*ROW(Escaleta!$A$5:$A$504))))</f>
        <v/>
      </c>
      <c r="R116" s="50">
        <f>IF(OR($A116="",H$6=""),0,SUMPRODUCT(MAX((Escaleta!$A$5:$A$504=$B$4)*(Escaleta!$H$5:$H$504=H$6)*(Escaleta!$K$5:$K$504&lt;&gt;"Cancelada")*(Escaleta!$C$5:$C$504&lt;$A116+Configuración!$C$7/1440)*(Escaleta!$E$5:$E$504&gt;$A116)*ROW(Escaleta!$A$5:$A$504))))</f>
        <v/>
      </c>
      <c r="S116" s="50">
        <f>IF(OR($A116="",I$6=""),0,SUMPRODUCT(MAX((Escaleta!$A$5:$A$504=$B$4)*(Escaleta!$H$5:$H$504=I$6)*(Escaleta!$K$5:$K$504&lt;&gt;"Cancelada")*(Escaleta!$C$5:$C$504&lt;$A116+Configuración!$C$7/1440)*(Escaleta!$E$5:$E$504&gt;$A116)*ROW(Escaleta!$A$5:$A$504))))</f>
        <v/>
      </c>
      <c r="U116" s="50">
        <f>IF(L116=0,"",INDEX(Escaleta!$I$1:$I$504,L116))</f>
        <v/>
      </c>
      <c r="V116" s="50">
        <f>IF(M116=0,"",INDEX(Escaleta!$I$1:$I$504,M116))</f>
        <v/>
      </c>
      <c r="W116" s="50">
        <f>IF(N116=0,"",INDEX(Escaleta!$I$1:$I$504,N116))</f>
        <v/>
      </c>
      <c r="X116" s="50">
        <f>IF(O116=0,"",INDEX(Escaleta!$I$1:$I$504,O116))</f>
        <v/>
      </c>
      <c r="Y116" s="50">
        <f>IF(P116=0,"",INDEX(Escaleta!$I$1:$I$504,P116))</f>
        <v/>
      </c>
      <c r="Z116" s="50">
        <f>IF(Q116=0,"",INDEX(Escaleta!$I$1:$I$504,Q116))</f>
        <v/>
      </c>
      <c r="AA116" s="50">
        <f>IF(R116=0,"",INDEX(Escaleta!$I$1:$I$504,R116))</f>
        <v/>
      </c>
      <c r="AB116" s="50">
        <f>IF(S116=0,"",INDEX(Escaleta!$I$1:$I$504,S116))</f>
        <v/>
      </c>
    </row>
    <row r="117" ht="18" customHeight="1">
      <c r="A117" s="48">
        <f>IF(A116="","",IF(A116+Configuración!$C$7/1440&gt;Configuración!$C$6-0.0001,"",A116+Configuración!$C$7/1440))</f>
        <v/>
      </c>
      <c r="B117" s="49">
        <f>IF(L117=0,"",IF(L117&lt;&gt;L116,INDEX(Escaleta!$F$1:$F$504,L117),IF(L117&lt;&gt;L115,TEXT(INDEX(Escaleta!$C$1:$C$504,L117),"hh:mm")&amp;"–"&amp;TEXT(INDEX(Escaleta!$E$1:$E$504,L117),"hh:mm"),"")))</f>
        <v/>
      </c>
      <c r="C117" s="49">
        <f>IF(M117=0,"",IF(M117&lt;&gt;M116,INDEX(Escaleta!$F$1:$F$504,M117),IF(M117&lt;&gt;M115,TEXT(INDEX(Escaleta!$C$1:$C$504,M117),"hh:mm")&amp;"–"&amp;TEXT(INDEX(Escaleta!$E$1:$E$504,M117),"hh:mm"),"")))</f>
        <v/>
      </c>
      <c r="D117" s="49">
        <f>IF(N117=0,"",IF(N117&lt;&gt;N116,INDEX(Escaleta!$F$1:$F$504,N117),IF(N117&lt;&gt;N115,TEXT(INDEX(Escaleta!$C$1:$C$504,N117),"hh:mm")&amp;"–"&amp;TEXT(INDEX(Escaleta!$E$1:$E$504,N117),"hh:mm"),"")))</f>
        <v/>
      </c>
      <c r="E117" s="49">
        <f>IF(O117=0,"",IF(O117&lt;&gt;O116,INDEX(Escaleta!$F$1:$F$504,O117),IF(O117&lt;&gt;O115,TEXT(INDEX(Escaleta!$C$1:$C$504,O117),"hh:mm")&amp;"–"&amp;TEXT(INDEX(Escaleta!$E$1:$E$504,O117),"hh:mm"),"")))</f>
        <v/>
      </c>
      <c r="F117" s="49">
        <f>IF(P117=0,"",IF(P117&lt;&gt;P116,INDEX(Escaleta!$F$1:$F$504,P117),IF(P117&lt;&gt;P115,TEXT(INDEX(Escaleta!$C$1:$C$504,P117),"hh:mm")&amp;"–"&amp;TEXT(INDEX(Escaleta!$E$1:$E$504,P117),"hh:mm"),"")))</f>
        <v/>
      </c>
      <c r="G117" s="49">
        <f>IF(Q117=0,"",IF(Q117&lt;&gt;Q116,INDEX(Escaleta!$F$1:$F$504,Q117),IF(Q117&lt;&gt;Q115,TEXT(INDEX(Escaleta!$C$1:$C$504,Q117),"hh:mm")&amp;"–"&amp;TEXT(INDEX(Escaleta!$E$1:$E$504,Q117),"hh:mm"),"")))</f>
        <v/>
      </c>
      <c r="H117" s="49">
        <f>IF(R117=0,"",IF(R117&lt;&gt;R116,INDEX(Escaleta!$F$1:$F$504,R117),IF(R117&lt;&gt;R115,TEXT(INDEX(Escaleta!$C$1:$C$504,R117),"hh:mm")&amp;"–"&amp;TEXT(INDEX(Escaleta!$E$1:$E$504,R117),"hh:mm"),"")))</f>
        <v/>
      </c>
      <c r="I117" s="49">
        <f>IF(S117=0,"",IF(S117&lt;&gt;S116,INDEX(Escaleta!$F$1:$F$504,S117),IF(S117&lt;&gt;S115,TEXT(INDEX(Escaleta!$C$1:$C$504,S117),"hh:mm")&amp;"–"&amp;TEXT(INDEX(Escaleta!$E$1:$E$504,S117),"hh:mm"),"")))</f>
        <v/>
      </c>
      <c r="L117" s="50">
        <f>IF(OR($A117="",B$6=""),0,SUMPRODUCT(MAX((Escaleta!$A$5:$A$504=$B$4)*(Escaleta!$H$5:$H$504=B$6)*(Escaleta!$K$5:$K$504&lt;&gt;"Cancelada")*(Escaleta!$C$5:$C$504&lt;$A117+Configuración!$C$7/1440)*(Escaleta!$E$5:$E$504&gt;$A117)*ROW(Escaleta!$A$5:$A$504))))</f>
        <v/>
      </c>
      <c r="M117" s="50">
        <f>IF(OR($A117="",C$6=""),0,SUMPRODUCT(MAX((Escaleta!$A$5:$A$504=$B$4)*(Escaleta!$H$5:$H$504=C$6)*(Escaleta!$K$5:$K$504&lt;&gt;"Cancelada")*(Escaleta!$C$5:$C$504&lt;$A117+Configuración!$C$7/1440)*(Escaleta!$E$5:$E$504&gt;$A117)*ROW(Escaleta!$A$5:$A$504))))</f>
        <v/>
      </c>
      <c r="N117" s="50">
        <f>IF(OR($A117="",D$6=""),0,SUMPRODUCT(MAX((Escaleta!$A$5:$A$504=$B$4)*(Escaleta!$H$5:$H$504=D$6)*(Escaleta!$K$5:$K$504&lt;&gt;"Cancelada")*(Escaleta!$C$5:$C$504&lt;$A117+Configuración!$C$7/1440)*(Escaleta!$E$5:$E$504&gt;$A117)*ROW(Escaleta!$A$5:$A$504))))</f>
        <v/>
      </c>
      <c r="O117" s="50">
        <f>IF(OR($A117="",E$6=""),0,SUMPRODUCT(MAX((Escaleta!$A$5:$A$504=$B$4)*(Escaleta!$H$5:$H$504=E$6)*(Escaleta!$K$5:$K$504&lt;&gt;"Cancelada")*(Escaleta!$C$5:$C$504&lt;$A117+Configuración!$C$7/1440)*(Escaleta!$E$5:$E$504&gt;$A117)*ROW(Escaleta!$A$5:$A$504))))</f>
        <v/>
      </c>
      <c r="P117" s="50">
        <f>IF(OR($A117="",F$6=""),0,SUMPRODUCT(MAX((Escaleta!$A$5:$A$504=$B$4)*(Escaleta!$H$5:$H$504=F$6)*(Escaleta!$K$5:$K$504&lt;&gt;"Cancelada")*(Escaleta!$C$5:$C$504&lt;$A117+Configuración!$C$7/1440)*(Escaleta!$E$5:$E$504&gt;$A117)*ROW(Escaleta!$A$5:$A$504))))</f>
        <v/>
      </c>
      <c r="Q117" s="50">
        <f>IF(OR($A117="",G$6=""),0,SUMPRODUCT(MAX((Escaleta!$A$5:$A$504=$B$4)*(Escaleta!$H$5:$H$504=G$6)*(Escaleta!$K$5:$K$504&lt;&gt;"Cancelada")*(Escaleta!$C$5:$C$504&lt;$A117+Configuración!$C$7/1440)*(Escaleta!$E$5:$E$504&gt;$A117)*ROW(Escaleta!$A$5:$A$504))))</f>
        <v/>
      </c>
      <c r="R117" s="50">
        <f>IF(OR($A117="",H$6=""),0,SUMPRODUCT(MAX((Escaleta!$A$5:$A$504=$B$4)*(Escaleta!$H$5:$H$504=H$6)*(Escaleta!$K$5:$K$504&lt;&gt;"Cancelada")*(Escaleta!$C$5:$C$504&lt;$A117+Configuración!$C$7/1440)*(Escaleta!$E$5:$E$504&gt;$A117)*ROW(Escaleta!$A$5:$A$504))))</f>
        <v/>
      </c>
      <c r="S117" s="50">
        <f>IF(OR($A117="",I$6=""),0,SUMPRODUCT(MAX((Escaleta!$A$5:$A$504=$B$4)*(Escaleta!$H$5:$H$504=I$6)*(Escaleta!$K$5:$K$504&lt;&gt;"Cancelada")*(Escaleta!$C$5:$C$504&lt;$A117+Configuración!$C$7/1440)*(Escaleta!$E$5:$E$504&gt;$A117)*ROW(Escaleta!$A$5:$A$504))))</f>
        <v/>
      </c>
      <c r="U117" s="50">
        <f>IF(L117=0,"",INDEX(Escaleta!$I$1:$I$504,L117))</f>
        <v/>
      </c>
      <c r="V117" s="50">
        <f>IF(M117=0,"",INDEX(Escaleta!$I$1:$I$504,M117))</f>
        <v/>
      </c>
      <c r="W117" s="50">
        <f>IF(N117=0,"",INDEX(Escaleta!$I$1:$I$504,N117))</f>
        <v/>
      </c>
      <c r="X117" s="50">
        <f>IF(O117=0,"",INDEX(Escaleta!$I$1:$I$504,O117))</f>
        <v/>
      </c>
      <c r="Y117" s="50">
        <f>IF(P117=0,"",INDEX(Escaleta!$I$1:$I$504,P117))</f>
        <v/>
      </c>
      <c r="Z117" s="50">
        <f>IF(Q117=0,"",INDEX(Escaleta!$I$1:$I$504,Q117))</f>
        <v/>
      </c>
      <c r="AA117" s="50">
        <f>IF(R117=0,"",INDEX(Escaleta!$I$1:$I$504,R117))</f>
        <v/>
      </c>
      <c r="AB117" s="50">
        <f>IF(S117=0,"",INDEX(Escaleta!$I$1:$I$504,S117))</f>
        <v/>
      </c>
    </row>
    <row r="118" ht="18" customHeight="1">
      <c r="A118" s="48">
        <f>IF(A117="","",IF(A117+Configuración!$C$7/1440&gt;Configuración!$C$6-0.0001,"",A117+Configuración!$C$7/1440))</f>
        <v/>
      </c>
      <c r="B118" s="49">
        <f>IF(L118=0,"",IF(L118&lt;&gt;L117,INDEX(Escaleta!$F$1:$F$504,L118),IF(L118&lt;&gt;L116,TEXT(INDEX(Escaleta!$C$1:$C$504,L118),"hh:mm")&amp;"–"&amp;TEXT(INDEX(Escaleta!$E$1:$E$504,L118),"hh:mm"),"")))</f>
        <v/>
      </c>
      <c r="C118" s="49">
        <f>IF(M118=0,"",IF(M118&lt;&gt;M117,INDEX(Escaleta!$F$1:$F$504,M118),IF(M118&lt;&gt;M116,TEXT(INDEX(Escaleta!$C$1:$C$504,M118),"hh:mm")&amp;"–"&amp;TEXT(INDEX(Escaleta!$E$1:$E$504,M118),"hh:mm"),"")))</f>
        <v/>
      </c>
      <c r="D118" s="49">
        <f>IF(N118=0,"",IF(N118&lt;&gt;N117,INDEX(Escaleta!$F$1:$F$504,N118),IF(N118&lt;&gt;N116,TEXT(INDEX(Escaleta!$C$1:$C$504,N118),"hh:mm")&amp;"–"&amp;TEXT(INDEX(Escaleta!$E$1:$E$504,N118),"hh:mm"),"")))</f>
        <v/>
      </c>
      <c r="E118" s="49">
        <f>IF(O118=0,"",IF(O118&lt;&gt;O117,INDEX(Escaleta!$F$1:$F$504,O118),IF(O118&lt;&gt;O116,TEXT(INDEX(Escaleta!$C$1:$C$504,O118),"hh:mm")&amp;"–"&amp;TEXT(INDEX(Escaleta!$E$1:$E$504,O118),"hh:mm"),"")))</f>
        <v/>
      </c>
      <c r="F118" s="49">
        <f>IF(P118=0,"",IF(P118&lt;&gt;P117,INDEX(Escaleta!$F$1:$F$504,P118),IF(P118&lt;&gt;P116,TEXT(INDEX(Escaleta!$C$1:$C$504,P118),"hh:mm")&amp;"–"&amp;TEXT(INDEX(Escaleta!$E$1:$E$504,P118),"hh:mm"),"")))</f>
        <v/>
      </c>
      <c r="G118" s="49">
        <f>IF(Q118=0,"",IF(Q118&lt;&gt;Q117,INDEX(Escaleta!$F$1:$F$504,Q118),IF(Q118&lt;&gt;Q116,TEXT(INDEX(Escaleta!$C$1:$C$504,Q118),"hh:mm")&amp;"–"&amp;TEXT(INDEX(Escaleta!$E$1:$E$504,Q118),"hh:mm"),"")))</f>
        <v/>
      </c>
      <c r="H118" s="49">
        <f>IF(R118=0,"",IF(R118&lt;&gt;R117,INDEX(Escaleta!$F$1:$F$504,R118),IF(R118&lt;&gt;R116,TEXT(INDEX(Escaleta!$C$1:$C$504,R118),"hh:mm")&amp;"–"&amp;TEXT(INDEX(Escaleta!$E$1:$E$504,R118),"hh:mm"),"")))</f>
        <v/>
      </c>
      <c r="I118" s="49">
        <f>IF(S118=0,"",IF(S118&lt;&gt;S117,INDEX(Escaleta!$F$1:$F$504,S118),IF(S118&lt;&gt;S116,TEXT(INDEX(Escaleta!$C$1:$C$504,S118),"hh:mm")&amp;"–"&amp;TEXT(INDEX(Escaleta!$E$1:$E$504,S118),"hh:mm"),"")))</f>
        <v/>
      </c>
      <c r="L118" s="50">
        <f>IF(OR($A118="",B$6=""),0,SUMPRODUCT(MAX((Escaleta!$A$5:$A$504=$B$4)*(Escaleta!$H$5:$H$504=B$6)*(Escaleta!$K$5:$K$504&lt;&gt;"Cancelada")*(Escaleta!$C$5:$C$504&lt;$A118+Configuración!$C$7/1440)*(Escaleta!$E$5:$E$504&gt;$A118)*ROW(Escaleta!$A$5:$A$504))))</f>
        <v/>
      </c>
      <c r="M118" s="50">
        <f>IF(OR($A118="",C$6=""),0,SUMPRODUCT(MAX((Escaleta!$A$5:$A$504=$B$4)*(Escaleta!$H$5:$H$504=C$6)*(Escaleta!$K$5:$K$504&lt;&gt;"Cancelada")*(Escaleta!$C$5:$C$504&lt;$A118+Configuración!$C$7/1440)*(Escaleta!$E$5:$E$504&gt;$A118)*ROW(Escaleta!$A$5:$A$504))))</f>
        <v/>
      </c>
      <c r="N118" s="50">
        <f>IF(OR($A118="",D$6=""),0,SUMPRODUCT(MAX((Escaleta!$A$5:$A$504=$B$4)*(Escaleta!$H$5:$H$504=D$6)*(Escaleta!$K$5:$K$504&lt;&gt;"Cancelada")*(Escaleta!$C$5:$C$504&lt;$A118+Configuración!$C$7/1440)*(Escaleta!$E$5:$E$504&gt;$A118)*ROW(Escaleta!$A$5:$A$504))))</f>
        <v/>
      </c>
      <c r="O118" s="50">
        <f>IF(OR($A118="",E$6=""),0,SUMPRODUCT(MAX((Escaleta!$A$5:$A$504=$B$4)*(Escaleta!$H$5:$H$504=E$6)*(Escaleta!$K$5:$K$504&lt;&gt;"Cancelada")*(Escaleta!$C$5:$C$504&lt;$A118+Configuración!$C$7/1440)*(Escaleta!$E$5:$E$504&gt;$A118)*ROW(Escaleta!$A$5:$A$504))))</f>
        <v/>
      </c>
      <c r="P118" s="50">
        <f>IF(OR($A118="",F$6=""),0,SUMPRODUCT(MAX((Escaleta!$A$5:$A$504=$B$4)*(Escaleta!$H$5:$H$504=F$6)*(Escaleta!$K$5:$K$504&lt;&gt;"Cancelada")*(Escaleta!$C$5:$C$504&lt;$A118+Configuración!$C$7/1440)*(Escaleta!$E$5:$E$504&gt;$A118)*ROW(Escaleta!$A$5:$A$504))))</f>
        <v/>
      </c>
      <c r="Q118" s="50">
        <f>IF(OR($A118="",G$6=""),0,SUMPRODUCT(MAX((Escaleta!$A$5:$A$504=$B$4)*(Escaleta!$H$5:$H$504=G$6)*(Escaleta!$K$5:$K$504&lt;&gt;"Cancelada")*(Escaleta!$C$5:$C$504&lt;$A118+Configuración!$C$7/1440)*(Escaleta!$E$5:$E$504&gt;$A118)*ROW(Escaleta!$A$5:$A$504))))</f>
        <v/>
      </c>
      <c r="R118" s="50">
        <f>IF(OR($A118="",H$6=""),0,SUMPRODUCT(MAX((Escaleta!$A$5:$A$504=$B$4)*(Escaleta!$H$5:$H$504=H$6)*(Escaleta!$K$5:$K$504&lt;&gt;"Cancelada")*(Escaleta!$C$5:$C$504&lt;$A118+Configuración!$C$7/1440)*(Escaleta!$E$5:$E$504&gt;$A118)*ROW(Escaleta!$A$5:$A$504))))</f>
        <v/>
      </c>
      <c r="S118" s="50">
        <f>IF(OR($A118="",I$6=""),0,SUMPRODUCT(MAX((Escaleta!$A$5:$A$504=$B$4)*(Escaleta!$H$5:$H$504=I$6)*(Escaleta!$K$5:$K$504&lt;&gt;"Cancelada")*(Escaleta!$C$5:$C$504&lt;$A118+Configuración!$C$7/1440)*(Escaleta!$E$5:$E$504&gt;$A118)*ROW(Escaleta!$A$5:$A$504))))</f>
        <v/>
      </c>
      <c r="U118" s="50">
        <f>IF(L118=0,"",INDEX(Escaleta!$I$1:$I$504,L118))</f>
        <v/>
      </c>
      <c r="V118" s="50">
        <f>IF(M118=0,"",INDEX(Escaleta!$I$1:$I$504,M118))</f>
        <v/>
      </c>
      <c r="W118" s="50">
        <f>IF(N118=0,"",INDEX(Escaleta!$I$1:$I$504,N118))</f>
        <v/>
      </c>
      <c r="X118" s="50">
        <f>IF(O118=0,"",INDEX(Escaleta!$I$1:$I$504,O118))</f>
        <v/>
      </c>
      <c r="Y118" s="50">
        <f>IF(P118=0,"",INDEX(Escaleta!$I$1:$I$504,P118))</f>
        <v/>
      </c>
      <c r="Z118" s="50">
        <f>IF(Q118=0,"",INDEX(Escaleta!$I$1:$I$504,Q118))</f>
        <v/>
      </c>
      <c r="AA118" s="50">
        <f>IF(R118=0,"",INDEX(Escaleta!$I$1:$I$504,R118))</f>
        <v/>
      </c>
      <c r="AB118" s="50">
        <f>IF(S118=0,"",INDEX(Escaleta!$I$1:$I$504,S118))</f>
        <v/>
      </c>
    </row>
    <row r="119" ht="18" customHeight="1">
      <c r="A119" s="48">
        <f>IF(A118="","",IF(A118+Configuración!$C$7/1440&gt;Configuración!$C$6-0.0001,"",A118+Configuración!$C$7/1440))</f>
        <v/>
      </c>
      <c r="B119" s="49">
        <f>IF(L119=0,"",IF(L119&lt;&gt;L118,INDEX(Escaleta!$F$1:$F$504,L119),IF(L119&lt;&gt;L117,TEXT(INDEX(Escaleta!$C$1:$C$504,L119),"hh:mm")&amp;"–"&amp;TEXT(INDEX(Escaleta!$E$1:$E$504,L119),"hh:mm"),"")))</f>
        <v/>
      </c>
      <c r="C119" s="49">
        <f>IF(M119=0,"",IF(M119&lt;&gt;M118,INDEX(Escaleta!$F$1:$F$504,M119),IF(M119&lt;&gt;M117,TEXT(INDEX(Escaleta!$C$1:$C$504,M119),"hh:mm")&amp;"–"&amp;TEXT(INDEX(Escaleta!$E$1:$E$504,M119),"hh:mm"),"")))</f>
        <v/>
      </c>
      <c r="D119" s="49">
        <f>IF(N119=0,"",IF(N119&lt;&gt;N118,INDEX(Escaleta!$F$1:$F$504,N119),IF(N119&lt;&gt;N117,TEXT(INDEX(Escaleta!$C$1:$C$504,N119),"hh:mm")&amp;"–"&amp;TEXT(INDEX(Escaleta!$E$1:$E$504,N119),"hh:mm"),"")))</f>
        <v/>
      </c>
      <c r="E119" s="49">
        <f>IF(O119=0,"",IF(O119&lt;&gt;O118,INDEX(Escaleta!$F$1:$F$504,O119),IF(O119&lt;&gt;O117,TEXT(INDEX(Escaleta!$C$1:$C$504,O119),"hh:mm")&amp;"–"&amp;TEXT(INDEX(Escaleta!$E$1:$E$504,O119),"hh:mm"),"")))</f>
        <v/>
      </c>
      <c r="F119" s="49">
        <f>IF(P119=0,"",IF(P119&lt;&gt;P118,INDEX(Escaleta!$F$1:$F$504,P119),IF(P119&lt;&gt;P117,TEXT(INDEX(Escaleta!$C$1:$C$504,P119),"hh:mm")&amp;"–"&amp;TEXT(INDEX(Escaleta!$E$1:$E$504,P119),"hh:mm"),"")))</f>
        <v/>
      </c>
      <c r="G119" s="49">
        <f>IF(Q119=0,"",IF(Q119&lt;&gt;Q118,INDEX(Escaleta!$F$1:$F$504,Q119),IF(Q119&lt;&gt;Q117,TEXT(INDEX(Escaleta!$C$1:$C$504,Q119),"hh:mm")&amp;"–"&amp;TEXT(INDEX(Escaleta!$E$1:$E$504,Q119),"hh:mm"),"")))</f>
        <v/>
      </c>
      <c r="H119" s="49">
        <f>IF(R119=0,"",IF(R119&lt;&gt;R118,INDEX(Escaleta!$F$1:$F$504,R119),IF(R119&lt;&gt;R117,TEXT(INDEX(Escaleta!$C$1:$C$504,R119),"hh:mm")&amp;"–"&amp;TEXT(INDEX(Escaleta!$E$1:$E$504,R119),"hh:mm"),"")))</f>
        <v/>
      </c>
      <c r="I119" s="49">
        <f>IF(S119=0,"",IF(S119&lt;&gt;S118,INDEX(Escaleta!$F$1:$F$504,S119),IF(S119&lt;&gt;S117,TEXT(INDEX(Escaleta!$C$1:$C$504,S119),"hh:mm")&amp;"–"&amp;TEXT(INDEX(Escaleta!$E$1:$E$504,S119),"hh:mm"),"")))</f>
        <v/>
      </c>
      <c r="L119" s="50">
        <f>IF(OR($A119="",B$6=""),0,SUMPRODUCT(MAX((Escaleta!$A$5:$A$504=$B$4)*(Escaleta!$H$5:$H$504=B$6)*(Escaleta!$K$5:$K$504&lt;&gt;"Cancelada")*(Escaleta!$C$5:$C$504&lt;$A119+Configuración!$C$7/1440)*(Escaleta!$E$5:$E$504&gt;$A119)*ROW(Escaleta!$A$5:$A$504))))</f>
        <v/>
      </c>
      <c r="M119" s="50">
        <f>IF(OR($A119="",C$6=""),0,SUMPRODUCT(MAX((Escaleta!$A$5:$A$504=$B$4)*(Escaleta!$H$5:$H$504=C$6)*(Escaleta!$K$5:$K$504&lt;&gt;"Cancelada")*(Escaleta!$C$5:$C$504&lt;$A119+Configuración!$C$7/1440)*(Escaleta!$E$5:$E$504&gt;$A119)*ROW(Escaleta!$A$5:$A$504))))</f>
        <v/>
      </c>
      <c r="N119" s="50">
        <f>IF(OR($A119="",D$6=""),0,SUMPRODUCT(MAX((Escaleta!$A$5:$A$504=$B$4)*(Escaleta!$H$5:$H$504=D$6)*(Escaleta!$K$5:$K$504&lt;&gt;"Cancelada")*(Escaleta!$C$5:$C$504&lt;$A119+Configuración!$C$7/1440)*(Escaleta!$E$5:$E$504&gt;$A119)*ROW(Escaleta!$A$5:$A$504))))</f>
        <v/>
      </c>
      <c r="O119" s="50">
        <f>IF(OR($A119="",E$6=""),0,SUMPRODUCT(MAX((Escaleta!$A$5:$A$504=$B$4)*(Escaleta!$H$5:$H$504=E$6)*(Escaleta!$K$5:$K$504&lt;&gt;"Cancelada")*(Escaleta!$C$5:$C$504&lt;$A119+Configuración!$C$7/1440)*(Escaleta!$E$5:$E$504&gt;$A119)*ROW(Escaleta!$A$5:$A$504))))</f>
        <v/>
      </c>
      <c r="P119" s="50">
        <f>IF(OR($A119="",F$6=""),0,SUMPRODUCT(MAX((Escaleta!$A$5:$A$504=$B$4)*(Escaleta!$H$5:$H$504=F$6)*(Escaleta!$K$5:$K$504&lt;&gt;"Cancelada")*(Escaleta!$C$5:$C$504&lt;$A119+Configuración!$C$7/1440)*(Escaleta!$E$5:$E$504&gt;$A119)*ROW(Escaleta!$A$5:$A$504))))</f>
        <v/>
      </c>
      <c r="Q119" s="50">
        <f>IF(OR($A119="",G$6=""),0,SUMPRODUCT(MAX((Escaleta!$A$5:$A$504=$B$4)*(Escaleta!$H$5:$H$504=G$6)*(Escaleta!$K$5:$K$504&lt;&gt;"Cancelada")*(Escaleta!$C$5:$C$504&lt;$A119+Configuración!$C$7/1440)*(Escaleta!$E$5:$E$504&gt;$A119)*ROW(Escaleta!$A$5:$A$504))))</f>
        <v/>
      </c>
      <c r="R119" s="50">
        <f>IF(OR($A119="",H$6=""),0,SUMPRODUCT(MAX((Escaleta!$A$5:$A$504=$B$4)*(Escaleta!$H$5:$H$504=H$6)*(Escaleta!$K$5:$K$504&lt;&gt;"Cancelada")*(Escaleta!$C$5:$C$504&lt;$A119+Configuración!$C$7/1440)*(Escaleta!$E$5:$E$504&gt;$A119)*ROW(Escaleta!$A$5:$A$504))))</f>
        <v/>
      </c>
      <c r="S119" s="50">
        <f>IF(OR($A119="",I$6=""),0,SUMPRODUCT(MAX((Escaleta!$A$5:$A$504=$B$4)*(Escaleta!$H$5:$H$504=I$6)*(Escaleta!$K$5:$K$504&lt;&gt;"Cancelada")*(Escaleta!$C$5:$C$504&lt;$A119+Configuración!$C$7/1440)*(Escaleta!$E$5:$E$504&gt;$A119)*ROW(Escaleta!$A$5:$A$504))))</f>
        <v/>
      </c>
      <c r="U119" s="50">
        <f>IF(L119=0,"",INDEX(Escaleta!$I$1:$I$504,L119))</f>
        <v/>
      </c>
      <c r="V119" s="50">
        <f>IF(M119=0,"",INDEX(Escaleta!$I$1:$I$504,M119))</f>
        <v/>
      </c>
      <c r="W119" s="50">
        <f>IF(N119=0,"",INDEX(Escaleta!$I$1:$I$504,N119))</f>
        <v/>
      </c>
      <c r="X119" s="50">
        <f>IF(O119=0,"",INDEX(Escaleta!$I$1:$I$504,O119))</f>
        <v/>
      </c>
      <c r="Y119" s="50">
        <f>IF(P119=0,"",INDEX(Escaleta!$I$1:$I$504,P119))</f>
        <v/>
      </c>
      <c r="Z119" s="50">
        <f>IF(Q119=0,"",INDEX(Escaleta!$I$1:$I$504,Q119))</f>
        <v/>
      </c>
      <c r="AA119" s="50">
        <f>IF(R119=0,"",INDEX(Escaleta!$I$1:$I$504,R119))</f>
        <v/>
      </c>
      <c r="AB119" s="50">
        <f>IF(S119=0,"",INDEX(Escaleta!$I$1:$I$504,S119))</f>
        <v/>
      </c>
    </row>
    <row r="120" ht="18" customHeight="1">
      <c r="A120" s="48">
        <f>IF(A119="","",IF(A119+Configuración!$C$7/1440&gt;Configuración!$C$6-0.0001,"",A119+Configuración!$C$7/1440))</f>
        <v/>
      </c>
      <c r="B120" s="49">
        <f>IF(L120=0,"",IF(L120&lt;&gt;L119,INDEX(Escaleta!$F$1:$F$504,L120),IF(L120&lt;&gt;L118,TEXT(INDEX(Escaleta!$C$1:$C$504,L120),"hh:mm")&amp;"–"&amp;TEXT(INDEX(Escaleta!$E$1:$E$504,L120),"hh:mm"),"")))</f>
        <v/>
      </c>
      <c r="C120" s="49">
        <f>IF(M120=0,"",IF(M120&lt;&gt;M119,INDEX(Escaleta!$F$1:$F$504,M120),IF(M120&lt;&gt;M118,TEXT(INDEX(Escaleta!$C$1:$C$504,M120),"hh:mm")&amp;"–"&amp;TEXT(INDEX(Escaleta!$E$1:$E$504,M120),"hh:mm"),"")))</f>
        <v/>
      </c>
      <c r="D120" s="49">
        <f>IF(N120=0,"",IF(N120&lt;&gt;N119,INDEX(Escaleta!$F$1:$F$504,N120),IF(N120&lt;&gt;N118,TEXT(INDEX(Escaleta!$C$1:$C$504,N120),"hh:mm")&amp;"–"&amp;TEXT(INDEX(Escaleta!$E$1:$E$504,N120),"hh:mm"),"")))</f>
        <v/>
      </c>
      <c r="E120" s="49">
        <f>IF(O120=0,"",IF(O120&lt;&gt;O119,INDEX(Escaleta!$F$1:$F$504,O120),IF(O120&lt;&gt;O118,TEXT(INDEX(Escaleta!$C$1:$C$504,O120),"hh:mm")&amp;"–"&amp;TEXT(INDEX(Escaleta!$E$1:$E$504,O120),"hh:mm"),"")))</f>
        <v/>
      </c>
      <c r="F120" s="49">
        <f>IF(P120=0,"",IF(P120&lt;&gt;P119,INDEX(Escaleta!$F$1:$F$504,P120),IF(P120&lt;&gt;P118,TEXT(INDEX(Escaleta!$C$1:$C$504,P120),"hh:mm")&amp;"–"&amp;TEXT(INDEX(Escaleta!$E$1:$E$504,P120),"hh:mm"),"")))</f>
        <v/>
      </c>
      <c r="G120" s="49">
        <f>IF(Q120=0,"",IF(Q120&lt;&gt;Q119,INDEX(Escaleta!$F$1:$F$504,Q120),IF(Q120&lt;&gt;Q118,TEXT(INDEX(Escaleta!$C$1:$C$504,Q120),"hh:mm")&amp;"–"&amp;TEXT(INDEX(Escaleta!$E$1:$E$504,Q120),"hh:mm"),"")))</f>
        <v/>
      </c>
      <c r="H120" s="49">
        <f>IF(R120=0,"",IF(R120&lt;&gt;R119,INDEX(Escaleta!$F$1:$F$504,R120),IF(R120&lt;&gt;R118,TEXT(INDEX(Escaleta!$C$1:$C$504,R120),"hh:mm")&amp;"–"&amp;TEXT(INDEX(Escaleta!$E$1:$E$504,R120),"hh:mm"),"")))</f>
        <v/>
      </c>
      <c r="I120" s="49">
        <f>IF(S120=0,"",IF(S120&lt;&gt;S119,INDEX(Escaleta!$F$1:$F$504,S120),IF(S120&lt;&gt;S118,TEXT(INDEX(Escaleta!$C$1:$C$504,S120),"hh:mm")&amp;"–"&amp;TEXT(INDEX(Escaleta!$E$1:$E$504,S120),"hh:mm"),"")))</f>
        <v/>
      </c>
      <c r="L120" s="50">
        <f>IF(OR($A120="",B$6=""),0,SUMPRODUCT(MAX((Escaleta!$A$5:$A$504=$B$4)*(Escaleta!$H$5:$H$504=B$6)*(Escaleta!$K$5:$K$504&lt;&gt;"Cancelada")*(Escaleta!$C$5:$C$504&lt;$A120+Configuración!$C$7/1440)*(Escaleta!$E$5:$E$504&gt;$A120)*ROW(Escaleta!$A$5:$A$504))))</f>
        <v/>
      </c>
      <c r="M120" s="50">
        <f>IF(OR($A120="",C$6=""),0,SUMPRODUCT(MAX((Escaleta!$A$5:$A$504=$B$4)*(Escaleta!$H$5:$H$504=C$6)*(Escaleta!$K$5:$K$504&lt;&gt;"Cancelada")*(Escaleta!$C$5:$C$504&lt;$A120+Configuración!$C$7/1440)*(Escaleta!$E$5:$E$504&gt;$A120)*ROW(Escaleta!$A$5:$A$504))))</f>
        <v/>
      </c>
      <c r="N120" s="50">
        <f>IF(OR($A120="",D$6=""),0,SUMPRODUCT(MAX((Escaleta!$A$5:$A$504=$B$4)*(Escaleta!$H$5:$H$504=D$6)*(Escaleta!$K$5:$K$504&lt;&gt;"Cancelada")*(Escaleta!$C$5:$C$504&lt;$A120+Configuración!$C$7/1440)*(Escaleta!$E$5:$E$504&gt;$A120)*ROW(Escaleta!$A$5:$A$504))))</f>
        <v/>
      </c>
      <c r="O120" s="50">
        <f>IF(OR($A120="",E$6=""),0,SUMPRODUCT(MAX((Escaleta!$A$5:$A$504=$B$4)*(Escaleta!$H$5:$H$504=E$6)*(Escaleta!$K$5:$K$504&lt;&gt;"Cancelada")*(Escaleta!$C$5:$C$504&lt;$A120+Configuración!$C$7/1440)*(Escaleta!$E$5:$E$504&gt;$A120)*ROW(Escaleta!$A$5:$A$504))))</f>
        <v/>
      </c>
      <c r="P120" s="50">
        <f>IF(OR($A120="",F$6=""),0,SUMPRODUCT(MAX((Escaleta!$A$5:$A$504=$B$4)*(Escaleta!$H$5:$H$504=F$6)*(Escaleta!$K$5:$K$504&lt;&gt;"Cancelada")*(Escaleta!$C$5:$C$504&lt;$A120+Configuración!$C$7/1440)*(Escaleta!$E$5:$E$504&gt;$A120)*ROW(Escaleta!$A$5:$A$504))))</f>
        <v/>
      </c>
      <c r="Q120" s="50">
        <f>IF(OR($A120="",G$6=""),0,SUMPRODUCT(MAX((Escaleta!$A$5:$A$504=$B$4)*(Escaleta!$H$5:$H$504=G$6)*(Escaleta!$K$5:$K$504&lt;&gt;"Cancelada")*(Escaleta!$C$5:$C$504&lt;$A120+Configuración!$C$7/1440)*(Escaleta!$E$5:$E$504&gt;$A120)*ROW(Escaleta!$A$5:$A$504))))</f>
        <v/>
      </c>
      <c r="R120" s="50">
        <f>IF(OR($A120="",H$6=""),0,SUMPRODUCT(MAX((Escaleta!$A$5:$A$504=$B$4)*(Escaleta!$H$5:$H$504=H$6)*(Escaleta!$K$5:$K$504&lt;&gt;"Cancelada")*(Escaleta!$C$5:$C$504&lt;$A120+Configuración!$C$7/1440)*(Escaleta!$E$5:$E$504&gt;$A120)*ROW(Escaleta!$A$5:$A$504))))</f>
        <v/>
      </c>
      <c r="S120" s="50">
        <f>IF(OR($A120="",I$6=""),0,SUMPRODUCT(MAX((Escaleta!$A$5:$A$504=$B$4)*(Escaleta!$H$5:$H$504=I$6)*(Escaleta!$K$5:$K$504&lt;&gt;"Cancelada")*(Escaleta!$C$5:$C$504&lt;$A120+Configuración!$C$7/1440)*(Escaleta!$E$5:$E$504&gt;$A120)*ROW(Escaleta!$A$5:$A$504))))</f>
        <v/>
      </c>
      <c r="U120" s="50">
        <f>IF(L120=0,"",INDEX(Escaleta!$I$1:$I$504,L120))</f>
        <v/>
      </c>
      <c r="V120" s="50">
        <f>IF(M120=0,"",INDEX(Escaleta!$I$1:$I$504,M120))</f>
        <v/>
      </c>
      <c r="W120" s="50">
        <f>IF(N120=0,"",INDEX(Escaleta!$I$1:$I$504,N120))</f>
        <v/>
      </c>
      <c r="X120" s="50">
        <f>IF(O120=0,"",INDEX(Escaleta!$I$1:$I$504,O120))</f>
        <v/>
      </c>
      <c r="Y120" s="50">
        <f>IF(P120=0,"",INDEX(Escaleta!$I$1:$I$504,P120))</f>
        <v/>
      </c>
      <c r="Z120" s="50">
        <f>IF(Q120=0,"",INDEX(Escaleta!$I$1:$I$504,Q120))</f>
        <v/>
      </c>
      <c r="AA120" s="50">
        <f>IF(R120=0,"",INDEX(Escaleta!$I$1:$I$504,R120))</f>
        <v/>
      </c>
      <c r="AB120" s="50">
        <f>IF(S120=0,"",INDEX(Escaleta!$I$1:$I$504,S120))</f>
        <v/>
      </c>
    </row>
    <row r="121" ht="18" customHeight="1">
      <c r="A121" s="48">
        <f>IF(A120="","",IF(A120+Configuración!$C$7/1440&gt;Configuración!$C$6-0.0001,"",A120+Configuración!$C$7/1440))</f>
        <v/>
      </c>
      <c r="B121" s="49">
        <f>IF(L121=0,"",IF(L121&lt;&gt;L120,INDEX(Escaleta!$F$1:$F$504,L121),IF(L121&lt;&gt;L119,TEXT(INDEX(Escaleta!$C$1:$C$504,L121),"hh:mm")&amp;"–"&amp;TEXT(INDEX(Escaleta!$E$1:$E$504,L121),"hh:mm"),"")))</f>
        <v/>
      </c>
      <c r="C121" s="49">
        <f>IF(M121=0,"",IF(M121&lt;&gt;M120,INDEX(Escaleta!$F$1:$F$504,M121),IF(M121&lt;&gt;M119,TEXT(INDEX(Escaleta!$C$1:$C$504,M121),"hh:mm")&amp;"–"&amp;TEXT(INDEX(Escaleta!$E$1:$E$504,M121),"hh:mm"),"")))</f>
        <v/>
      </c>
      <c r="D121" s="49">
        <f>IF(N121=0,"",IF(N121&lt;&gt;N120,INDEX(Escaleta!$F$1:$F$504,N121),IF(N121&lt;&gt;N119,TEXT(INDEX(Escaleta!$C$1:$C$504,N121),"hh:mm")&amp;"–"&amp;TEXT(INDEX(Escaleta!$E$1:$E$504,N121),"hh:mm"),"")))</f>
        <v/>
      </c>
      <c r="E121" s="49">
        <f>IF(O121=0,"",IF(O121&lt;&gt;O120,INDEX(Escaleta!$F$1:$F$504,O121),IF(O121&lt;&gt;O119,TEXT(INDEX(Escaleta!$C$1:$C$504,O121),"hh:mm")&amp;"–"&amp;TEXT(INDEX(Escaleta!$E$1:$E$504,O121),"hh:mm"),"")))</f>
        <v/>
      </c>
      <c r="F121" s="49">
        <f>IF(P121=0,"",IF(P121&lt;&gt;P120,INDEX(Escaleta!$F$1:$F$504,P121),IF(P121&lt;&gt;P119,TEXT(INDEX(Escaleta!$C$1:$C$504,P121),"hh:mm")&amp;"–"&amp;TEXT(INDEX(Escaleta!$E$1:$E$504,P121),"hh:mm"),"")))</f>
        <v/>
      </c>
      <c r="G121" s="49">
        <f>IF(Q121=0,"",IF(Q121&lt;&gt;Q120,INDEX(Escaleta!$F$1:$F$504,Q121),IF(Q121&lt;&gt;Q119,TEXT(INDEX(Escaleta!$C$1:$C$504,Q121),"hh:mm")&amp;"–"&amp;TEXT(INDEX(Escaleta!$E$1:$E$504,Q121),"hh:mm"),"")))</f>
        <v/>
      </c>
      <c r="H121" s="49">
        <f>IF(R121=0,"",IF(R121&lt;&gt;R120,INDEX(Escaleta!$F$1:$F$504,R121),IF(R121&lt;&gt;R119,TEXT(INDEX(Escaleta!$C$1:$C$504,R121),"hh:mm")&amp;"–"&amp;TEXT(INDEX(Escaleta!$E$1:$E$504,R121),"hh:mm"),"")))</f>
        <v/>
      </c>
      <c r="I121" s="49">
        <f>IF(S121=0,"",IF(S121&lt;&gt;S120,INDEX(Escaleta!$F$1:$F$504,S121),IF(S121&lt;&gt;S119,TEXT(INDEX(Escaleta!$C$1:$C$504,S121),"hh:mm")&amp;"–"&amp;TEXT(INDEX(Escaleta!$E$1:$E$504,S121),"hh:mm"),"")))</f>
        <v/>
      </c>
      <c r="L121" s="50">
        <f>IF(OR($A121="",B$6=""),0,SUMPRODUCT(MAX((Escaleta!$A$5:$A$504=$B$4)*(Escaleta!$H$5:$H$504=B$6)*(Escaleta!$K$5:$K$504&lt;&gt;"Cancelada")*(Escaleta!$C$5:$C$504&lt;$A121+Configuración!$C$7/1440)*(Escaleta!$E$5:$E$504&gt;$A121)*ROW(Escaleta!$A$5:$A$504))))</f>
        <v/>
      </c>
      <c r="M121" s="50">
        <f>IF(OR($A121="",C$6=""),0,SUMPRODUCT(MAX((Escaleta!$A$5:$A$504=$B$4)*(Escaleta!$H$5:$H$504=C$6)*(Escaleta!$K$5:$K$504&lt;&gt;"Cancelada")*(Escaleta!$C$5:$C$504&lt;$A121+Configuración!$C$7/1440)*(Escaleta!$E$5:$E$504&gt;$A121)*ROW(Escaleta!$A$5:$A$504))))</f>
        <v/>
      </c>
      <c r="N121" s="50">
        <f>IF(OR($A121="",D$6=""),0,SUMPRODUCT(MAX((Escaleta!$A$5:$A$504=$B$4)*(Escaleta!$H$5:$H$504=D$6)*(Escaleta!$K$5:$K$504&lt;&gt;"Cancelada")*(Escaleta!$C$5:$C$504&lt;$A121+Configuración!$C$7/1440)*(Escaleta!$E$5:$E$504&gt;$A121)*ROW(Escaleta!$A$5:$A$504))))</f>
        <v/>
      </c>
      <c r="O121" s="50">
        <f>IF(OR($A121="",E$6=""),0,SUMPRODUCT(MAX((Escaleta!$A$5:$A$504=$B$4)*(Escaleta!$H$5:$H$504=E$6)*(Escaleta!$K$5:$K$504&lt;&gt;"Cancelada")*(Escaleta!$C$5:$C$504&lt;$A121+Configuración!$C$7/1440)*(Escaleta!$E$5:$E$504&gt;$A121)*ROW(Escaleta!$A$5:$A$504))))</f>
        <v/>
      </c>
      <c r="P121" s="50">
        <f>IF(OR($A121="",F$6=""),0,SUMPRODUCT(MAX((Escaleta!$A$5:$A$504=$B$4)*(Escaleta!$H$5:$H$504=F$6)*(Escaleta!$K$5:$K$504&lt;&gt;"Cancelada")*(Escaleta!$C$5:$C$504&lt;$A121+Configuración!$C$7/1440)*(Escaleta!$E$5:$E$504&gt;$A121)*ROW(Escaleta!$A$5:$A$504))))</f>
        <v/>
      </c>
      <c r="Q121" s="50">
        <f>IF(OR($A121="",G$6=""),0,SUMPRODUCT(MAX((Escaleta!$A$5:$A$504=$B$4)*(Escaleta!$H$5:$H$504=G$6)*(Escaleta!$K$5:$K$504&lt;&gt;"Cancelada")*(Escaleta!$C$5:$C$504&lt;$A121+Configuración!$C$7/1440)*(Escaleta!$E$5:$E$504&gt;$A121)*ROW(Escaleta!$A$5:$A$504))))</f>
        <v/>
      </c>
      <c r="R121" s="50">
        <f>IF(OR($A121="",H$6=""),0,SUMPRODUCT(MAX((Escaleta!$A$5:$A$504=$B$4)*(Escaleta!$H$5:$H$504=H$6)*(Escaleta!$K$5:$K$504&lt;&gt;"Cancelada")*(Escaleta!$C$5:$C$504&lt;$A121+Configuración!$C$7/1440)*(Escaleta!$E$5:$E$504&gt;$A121)*ROW(Escaleta!$A$5:$A$504))))</f>
        <v/>
      </c>
      <c r="S121" s="50">
        <f>IF(OR($A121="",I$6=""),0,SUMPRODUCT(MAX((Escaleta!$A$5:$A$504=$B$4)*(Escaleta!$H$5:$H$504=I$6)*(Escaleta!$K$5:$K$504&lt;&gt;"Cancelada")*(Escaleta!$C$5:$C$504&lt;$A121+Configuración!$C$7/1440)*(Escaleta!$E$5:$E$504&gt;$A121)*ROW(Escaleta!$A$5:$A$504))))</f>
        <v/>
      </c>
      <c r="U121" s="50">
        <f>IF(L121=0,"",INDEX(Escaleta!$I$1:$I$504,L121))</f>
        <v/>
      </c>
      <c r="V121" s="50">
        <f>IF(M121=0,"",INDEX(Escaleta!$I$1:$I$504,M121))</f>
        <v/>
      </c>
      <c r="W121" s="50">
        <f>IF(N121=0,"",INDEX(Escaleta!$I$1:$I$504,N121))</f>
        <v/>
      </c>
      <c r="X121" s="50">
        <f>IF(O121=0,"",INDEX(Escaleta!$I$1:$I$504,O121))</f>
        <v/>
      </c>
      <c r="Y121" s="50">
        <f>IF(P121=0,"",INDEX(Escaleta!$I$1:$I$504,P121))</f>
        <v/>
      </c>
      <c r="Z121" s="50">
        <f>IF(Q121=0,"",INDEX(Escaleta!$I$1:$I$504,Q121))</f>
        <v/>
      </c>
      <c r="AA121" s="50">
        <f>IF(R121=0,"",INDEX(Escaleta!$I$1:$I$504,R121))</f>
        <v/>
      </c>
      <c r="AB121" s="50">
        <f>IF(S121=0,"",INDEX(Escaleta!$I$1:$I$504,S121))</f>
        <v/>
      </c>
    </row>
    <row r="122" ht="18" customHeight="1">
      <c r="A122" s="48">
        <f>IF(A121="","",IF(A121+Configuración!$C$7/1440&gt;Configuración!$C$6-0.0001,"",A121+Configuración!$C$7/1440))</f>
        <v/>
      </c>
      <c r="B122" s="49">
        <f>IF(L122=0,"",IF(L122&lt;&gt;L121,INDEX(Escaleta!$F$1:$F$504,L122),IF(L122&lt;&gt;L120,TEXT(INDEX(Escaleta!$C$1:$C$504,L122),"hh:mm")&amp;"–"&amp;TEXT(INDEX(Escaleta!$E$1:$E$504,L122),"hh:mm"),"")))</f>
        <v/>
      </c>
      <c r="C122" s="49">
        <f>IF(M122=0,"",IF(M122&lt;&gt;M121,INDEX(Escaleta!$F$1:$F$504,M122),IF(M122&lt;&gt;M120,TEXT(INDEX(Escaleta!$C$1:$C$504,M122),"hh:mm")&amp;"–"&amp;TEXT(INDEX(Escaleta!$E$1:$E$504,M122),"hh:mm"),"")))</f>
        <v/>
      </c>
      <c r="D122" s="49">
        <f>IF(N122=0,"",IF(N122&lt;&gt;N121,INDEX(Escaleta!$F$1:$F$504,N122),IF(N122&lt;&gt;N120,TEXT(INDEX(Escaleta!$C$1:$C$504,N122),"hh:mm")&amp;"–"&amp;TEXT(INDEX(Escaleta!$E$1:$E$504,N122),"hh:mm"),"")))</f>
        <v/>
      </c>
      <c r="E122" s="49">
        <f>IF(O122=0,"",IF(O122&lt;&gt;O121,INDEX(Escaleta!$F$1:$F$504,O122),IF(O122&lt;&gt;O120,TEXT(INDEX(Escaleta!$C$1:$C$504,O122),"hh:mm")&amp;"–"&amp;TEXT(INDEX(Escaleta!$E$1:$E$504,O122),"hh:mm"),"")))</f>
        <v/>
      </c>
      <c r="F122" s="49">
        <f>IF(P122=0,"",IF(P122&lt;&gt;P121,INDEX(Escaleta!$F$1:$F$504,P122),IF(P122&lt;&gt;P120,TEXT(INDEX(Escaleta!$C$1:$C$504,P122),"hh:mm")&amp;"–"&amp;TEXT(INDEX(Escaleta!$E$1:$E$504,P122),"hh:mm"),"")))</f>
        <v/>
      </c>
      <c r="G122" s="49">
        <f>IF(Q122=0,"",IF(Q122&lt;&gt;Q121,INDEX(Escaleta!$F$1:$F$504,Q122),IF(Q122&lt;&gt;Q120,TEXT(INDEX(Escaleta!$C$1:$C$504,Q122),"hh:mm")&amp;"–"&amp;TEXT(INDEX(Escaleta!$E$1:$E$504,Q122),"hh:mm"),"")))</f>
        <v/>
      </c>
      <c r="H122" s="49">
        <f>IF(R122=0,"",IF(R122&lt;&gt;R121,INDEX(Escaleta!$F$1:$F$504,R122),IF(R122&lt;&gt;R120,TEXT(INDEX(Escaleta!$C$1:$C$504,R122),"hh:mm")&amp;"–"&amp;TEXT(INDEX(Escaleta!$E$1:$E$504,R122),"hh:mm"),"")))</f>
        <v/>
      </c>
      <c r="I122" s="49">
        <f>IF(S122=0,"",IF(S122&lt;&gt;S121,INDEX(Escaleta!$F$1:$F$504,S122),IF(S122&lt;&gt;S120,TEXT(INDEX(Escaleta!$C$1:$C$504,S122),"hh:mm")&amp;"–"&amp;TEXT(INDEX(Escaleta!$E$1:$E$504,S122),"hh:mm"),"")))</f>
        <v/>
      </c>
      <c r="L122" s="50">
        <f>IF(OR($A122="",B$6=""),0,SUMPRODUCT(MAX((Escaleta!$A$5:$A$504=$B$4)*(Escaleta!$H$5:$H$504=B$6)*(Escaleta!$K$5:$K$504&lt;&gt;"Cancelada")*(Escaleta!$C$5:$C$504&lt;$A122+Configuración!$C$7/1440)*(Escaleta!$E$5:$E$504&gt;$A122)*ROW(Escaleta!$A$5:$A$504))))</f>
        <v/>
      </c>
      <c r="M122" s="50">
        <f>IF(OR($A122="",C$6=""),0,SUMPRODUCT(MAX((Escaleta!$A$5:$A$504=$B$4)*(Escaleta!$H$5:$H$504=C$6)*(Escaleta!$K$5:$K$504&lt;&gt;"Cancelada")*(Escaleta!$C$5:$C$504&lt;$A122+Configuración!$C$7/1440)*(Escaleta!$E$5:$E$504&gt;$A122)*ROW(Escaleta!$A$5:$A$504))))</f>
        <v/>
      </c>
      <c r="N122" s="50">
        <f>IF(OR($A122="",D$6=""),0,SUMPRODUCT(MAX((Escaleta!$A$5:$A$504=$B$4)*(Escaleta!$H$5:$H$504=D$6)*(Escaleta!$K$5:$K$504&lt;&gt;"Cancelada")*(Escaleta!$C$5:$C$504&lt;$A122+Configuración!$C$7/1440)*(Escaleta!$E$5:$E$504&gt;$A122)*ROW(Escaleta!$A$5:$A$504))))</f>
        <v/>
      </c>
      <c r="O122" s="50">
        <f>IF(OR($A122="",E$6=""),0,SUMPRODUCT(MAX((Escaleta!$A$5:$A$504=$B$4)*(Escaleta!$H$5:$H$504=E$6)*(Escaleta!$K$5:$K$504&lt;&gt;"Cancelada")*(Escaleta!$C$5:$C$504&lt;$A122+Configuración!$C$7/1440)*(Escaleta!$E$5:$E$504&gt;$A122)*ROW(Escaleta!$A$5:$A$504))))</f>
        <v/>
      </c>
      <c r="P122" s="50">
        <f>IF(OR($A122="",F$6=""),0,SUMPRODUCT(MAX((Escaleta!$A$5:$A$504=$B$4)*(Escaleta!$H$5:$H$504=F$6)*(Escaleta!$K$5:$K$504&lt;&gt;"Cancelada")*(Escaleta!$C$5:$C$504&lt;$A122+Configuración!$C$7/1440)*(Escaleta!$E$5:$E$504&gt;$A122)*ROW(Escaleta!$A$5:$A$504))))</f>
        <v/>
      </c>
      <c r="Q122" s="50">
        <f>IF(OR($A122="",G$6=""),0,SUMPRODUCT(MAX((Escaleta!$A$5:$A$504=$B$4)*(Escaleta!$H$5:$H$504=G$6)*(Escaleta!$K$5:$K$504&lt;&gt;"Cancelada")*(Escaleta!$C$5:$C$504&lt;$A122+Configuración!$C$7/1440)*(Escaleta!$E$5:$E$504&gt;$A122)*ROW(Escaleta!$A$5:$A$504))))</f>
        <v/>
      </c>
      <c r="R122" s="50">
        <f>IF(OR($A122="",H$6=""),0,SUMPRODUCT(MAX((Escaleta!$A$5:$A$504=$B$4)*(Escaleta!$H$5:$H$504=H$6)*(Escaleta!$K$5:$K$504&lt;&gt;"Cancelada")*(Escaleta!$C$5:$C$504&lt;$A122+Configuración!$C$7/1440)*(Escaleta!$E$5:$E$504&gt;$A122)*ROW(Escaleta!$A$5:$A$504))))</f>
        <v/>
      </c>
      <c r="S122" s="50">
        <f>IF(OR($A122="",I$6=""),0,SUMPRODUCT(MAX((Escaleta!$A$5:$A$504=$B$4)*(Escaleta!$H$5:$H$504=I$6)*(Escaleta!$K$5:$K$504&lt;&gt;"Cancelada")*(Escaleta!$C$5:$C$504&lt;$A122+Configuración!$C$7/1440)*(Escaleta!$E$5:$E$504&gt;$A122)*ROW(Escaleta!$A$5:$A$504))))</f>
        <v/>
      </c>
      <c r="U122" s="50">
        <f>IF(L122=0,"",INDEX(Escaleta!$I$1:$I$504,L122))</f>
        <v/>
      </c>
      <c r="V122" s="50">
        <f>IF(M122=0,"",INDEX(Escaleta!$I$1:$I$504,M122))</f>
        <v/>
      </c>
      <c r="W122" s="50">
        <f>IF(N122=0,"",INDEX(Escaleta!$I$1:$I$504,N122))</f>
        <v/>
      </c>
      <c r="X122" s="50">
        <f>IF(O122=0,"",INDEX(Escaleta!$I$1:$I$504,O122))</f>
        <v/>
      </c>
      <c r="Y122" s="50">
        <f>IF(P122=0,"",INDEX(Escaleta!$I$1:$I$504,P122))</f>
        <v/>
      </c>
      <c r="Z122" s="50">
        <f>IF(Q122=0,"",INDEX(Escaleta!$I$1:$I$504,Q122))</f>
        <v/>
      </c>
      <c r="AA122" s="50">
        <f>IF(R122=0,"",INDEX(Escaleta!$I$1:$I$504,R122))</f>
        <v/>
      </c>
      <c r="AB122" s="50">
        <f>IF(S122=0,"",INDEX(Escaleta!$I$1:$I$504,S122))</f>
        <v/>
      </c>
    </row>
    <row r="123" ht="18" customHeight="1">
      <c r="A123" s="48">
        <f>IF(A122="","",IF(A122+Configuración!$C$7/1440&gt;Configuración!$C$6-0.0001,"",A122+Configuración!$C$7/1440))</f>
        <v/>
      </c>
      <c r="B123" s="49">
        <f>IF(L123=0,"",IF(L123&lt;&gt;L122,INDEX(Escaleta!$F$1:$F$504,L123),IF(L123&lt;&gt;L121,TEXT(INDEX(Escaleta!$C$1:$C$504,L123),"hh:mm")&amp;"–"&amp;TEXT(INDEX(Escaleta!$E$1:$E$504,L123),"hh:mm"),"")))</f>
        <v/>
      </c>
      <c r="C123" s="49">
        <f>IF(M123=0,"",IF(M123&lt;&gt;M122,INDEX(Escaleta!$F$1:$F$504,M123),IF(M123&lt;&gt;M121,TEXT(INDEX(Escaleta!$C$1:$C$504,M123),"hh:mm")&amp;"–"&amp;TEXT(INDEX(Escaleta!$E$1:$E$504,M123),"hh:mm"),"")))</f>
        <v/>
      </c>
      <c r="D123" s="49">
        <f>IF(N123=0,"",IF(N123&lt;&gt;N122,INDEX(Escaleta!$F$1:$F$504,N123),IF(N123&lt;&gt;N121,TEXT(INDEX(Escaleta!$C$1:$C$504,N123),"hh:mm")&amp;"–"&amp;TEXT(INDEX(Escaleta!$E$1:$E$504,N123),"hh:mm"),"")))</f>
        <v/>
      </c>
      <c r="E123" s="49">
        <f>IF(O123=0,"",IF(O123&lt;&gt;O122,INDEX(Escaleta!$F$1:$F$504,O123),IF(O123&lt;&gt;O121,TEXT(INDEX(Escaleta!$C$1:$C$504,O123),"hh:mm")&amp;"–"&amp;TEXT(INDEX(Escaleta!$E$1:$E$504,O123),"hh:mm"),"")))</f>
        <v/>
      </c>
      <c r="F123" s="49">
        <f>IF(P123=0,"",IF(P123&lt;&gt;P122,INDEX(Escaleta!$F$1:$F$504,P123),IF(P123&lt;&gt;P121,TEXT(INDEX(Escaleta!$C$1:$C$504,P123),"hh:mm")&amp;"–"&amp;TEXT(INDEX(Escaleta!$E$1:$E$504,P123),"hh:mm"),"")))</f>
        <v/>
      </c>
      <c r="G123" s="49">
        <f>IF(Q123=0,"",IF(Q123&lt;&gt;Q122,INDEX(Escaleta!$F$1:$F$504,Q123),IF(Q123&lt;&gt;Q121,TEXT(INDEX(Escaleta!$C$1:$C$504,Q123),"hh:mm")&amp;"–"&amp;TEXT(INDEX(Escaleta!$E$1:$E$504,Q123),"hh:mm"),"")))</f>
        <v/>
      </c>
      <c r="H123" s="49">
        <f>IF(R123=0,"",IF(R123&lt;&gt;R122,INDEX(Escaleta!$F$1:$F$504,R123),IF(R123&lt;&gt;R121,TEXT(INDEX(Escaleta!$C$1:$C$504,R123),"hh:mm")&amp;"–"&amp;TEXT(INDEX(Escaleta!$E$1:$E$504,R123),"hh:mm"),"")))</f>
        <v/>
      </c>
      <c r="I123" s="49">
        <f>IF(S123=0,"",IF(S123&lt;&gt;S122,INDEX(Escaleta!$F$1:$F$504,S123),IF(S123&lt;&gt;S121,TEXT(INDEX(Escaleta!$C$1:$C$504,S123),"hh:mm")&amp;"–"&amp;TEXT(INDEX(Escaleta!$E$1:$E$504,S123),"hh:mm"),"")))</f>
        <v/>
      </c>
      <c r="L123" s="50">
        <f>IF(OR($A123="",B$6=""),0,SUMPRODUCT(MAX((Escaleta!$A$5:$A$504=$B$4)*(Escaleta!$H$5:$H$504=B$6)*(Escaleta!$K$5:$K$504&lt;&gt;"Cancelada")*(Escaleta!$C$5:$C$504&lt;$A123+Configuración!$C$7/1440)*(Escaleta!$E$5:$E$504&gt;$A123)*ROW(Escaleta!$A$5:$A$504))))</f>
        <v/>
      </c>
      <c r="M123" s="50">
        <f>IF(OR($A123="",C$6=""),0,SUMPRODUCT(MAX((Escaleta!$A$5:$A$504=$B$4)*(Escaleta!$H$5:$H$504=C$6)*(Escaleta!$K$5:$K$504&lt;&gt;"Cancelada")*(Escaleta!$C$5:$C$504&lt;$A123+Configuración!$C$7/1440)*(Escaleta!$E$5:$E$504&gt;$A123)*ROW(Escaleta!$A$5:$A$504))))</f>
        <v/>
      </c>
      <c r="N123" s="50">
        <f>IF(OR($A123="",D$6=""),0,SUMPRODUCT(MAX((Escaleta!$A$5:$A$504=$B$4)*(Escaleta!$H$5:$H$504=D$6)*(Escaleta!$K$5:$K$504&lt;&gt;"Cancelada")*(Escaleta!$C$5:$C$504&lt;$A123+Configuración!$C$7/1440)*(Escaleta!$E$5:$E$504&gt;$A123)*ROW(Escaleta!$A$5:$A$504))))</f>
        <v/>
      </c>
      <c r="O123" s="50">
        <f>IF(OR($A123="",E$6=""),0,SUMPRODUCT(MAX((Escaleta!$A$5:$A$504=$B$4)*(Escaleta!$H$5:$H$504=E$6)*(Escaleta!$K$5:$K$504&lt;&gt;"Cancelada")*(Escaleta!$C$5:$C$504&lt;$A123+Configuración!$C$7/1440)*(Escaleta!$E$5:$E$504&gt;$A123)*ROW(Escaleta!$A$5:$A$504))))</f>
        <v/>
      </c>
      <c r="P123" s="50">
        <f>IF(OR($A123="",F$6=""),0,SUMPRODUCT(MAX((Escaleta!$A$5:$A$504=$B$4)*(Escaleta!$H$5:$H$504=F$6)*(Escaleta!$K$5:$K$504&lt;&gt;"Cancelada")*(Escaleta!$C$5:$C$504&lt;$A123+Configuración!$C$7/1440)*(Escaleta!$E$5:$E$504&gt;$A123)*ROW(Escaleta!$A$5:$A$504))))</f>
        <v/>
      </c>
      <c r="Q123" s="50">
        <f>IF(OR($A123="",G$6=""),0,SUMPRODUCT(MAX((Escaleta!$A$5:$A$504=$B$4)*(Escaleta!$H$5:$H$504=G$6)*(Escaleta!$K$5:$K$504&lt;&gt;"Cancelada")*(Escaleta!$C$5:$C$504&lt;$A123+Configuración!$C$7/1440)*(Escaleta!$E$5:$E$504&gt;$A123)*ROW(Escaleta!$A$5:$A$504))))</f>
        <v/>
      </c>
      <c r="R123" s="50">
        <f>IF(OR($A123="",H$6=""),0,SUMPRODUCT(MAX((Escaleta!$A$5:$A$504=$B$4)*(Escaleta!$H$5:$H$504=H$6)*(Escaleta!$K$5:$K$504&lt;&gt;"Cancelada")*(Escaleta!$C$5:$C$504&lt;$A123+Configuración!$C$7/1440)*(Escaleta!$E$5:$E$504&gt;$A123)*ROW(Escaleta!$A$5:$A$504))))</f>
        <v/>
      </c>
      <c r="S123" s="50">
        <f>IF(OR($A123="",I$6=""),0,SUMPRODUCT(MAX((Escaleta!$A$5:$A$504=$B$4)*(Escaleta!$H$5:$H$504=I$6)*(Escaleta!$K$5:$K$504&lt;&gt;"Cancelada")*(Escaleta!$C$5:$C$504&lt;$A123+Configuración!$C$7/1440)*(Escaleta!$E$5:$E$504&gt;$A123)*ROW(Escaleta!$A$5:$A$504))))</f>
        <v/>
      </c>
      <c r="U123" s="50">
        <f>IF(L123=0,"",INDEX(Escaleta!$I$1:$I$504,L123))</f>
        <v/>
      </c>
      <c r="V123" s="50">
        <f>IF(M123=0,"",INDEX(Escaleta!$I$1:$I$504,M123))</f>
        <v/>
      </c>
      <c r="W123" s="50">
        <f>IF(N123=0,"",INDEX(Escaleta!$I$1:$I$504,N123))</f>
        <v/>
      </c>
      <c r="X123" s="50">
        <f>IF(O123=0,"",INDEX(Escaleta!$I$1:$I$504,O123))</f>
        <v/>
      </c>
      <c r="Y123" s="50">
        <f>IF(P123=0,"",INDEX(Escaleta!$I$1:$I$504,P123))</f>
        <v/>
      </c>
      <c r="Z123" s="50">
        <f>IF(Q123=0,"",INDEX(Escaleta!$I$1:$I$504,Q123))</f>
        <v/>
      </c>
      <c r="AA123" s="50">
        <f>IF(R123=0,"",INDEX(Escaleta!$I$1:$I$504,R123))</f>
        <v/>
      </c>
      <c r="AB123" s="50">
        <f>IF(S123=0,"",INDEX(Escaleta!$I$1:$I$504,S123))</f>
        <v/>
      </c>
    </row>
    <row r="124" ht="18" customHeight="1">
      <c r="A124" s="48">
        <f>IF(A123="","",IF(A123+Configuración!$C$7/1440&gt;Configuración!$C$6-0.0001,"",A123+Configuración!$C$7/1440))</f>
        <v/>
      </c>
      <c r="B124" s="49">
        <f>IF(L124=0,"",IF(L124&lt;&gt;L123,INDEX(Escaleta!$F$1:$F$504,L124),IF(L124&lt;&gt;L122,TEXT(INDEX(Escaleta!$C$1:$C$504,L124),"hh:mm")&amp;"–"&amp;TEXT(INDEX(Escaleta!$E$1:$E$504,L124),"hh:mm"),"")))</f>
        <v/>
      </c>
      <c r="C124" s="49">
        <f>IF(M124=0,"",IF(M124&lt;&gt;M123,INDEX(Escaleta!$F$1:$F$504,M124),IF(M124&lt;&gt;M122,TEXT(INDEX(Escaleta!$C$1:$C$504,M124),"hh:mm")&amp;"–"&amp;TEXT(INDEX(Escaleta!$E$1:$E$504,M124),"hh:mm"),"")))</f>
        <v/>
      </c>
      <c r="D124" s="49">
        <f>IF(N124=0,"",IF(N124&lt;&gt;N123,INDEX(Escaleta!$F$1:$F$504,N124),IF(N124&lt;&gt;N122,TEXT(INDEX(Escaleta!$C$1:$C$504,N124),"hh:mm")&amp;"–"&amp;TEXT(INDEX(Escaleta!$E$1:$E$504,N124),"hh:mm"),"")))</f>
        <v/>
      </c>
      <c r="E124" s="49">
        <f>IF(O124=0,"",IF(O124&lt;&gt;O123,INDEX(Escaleta!$F$1:$F$504,O124),IF(O124&lt;&gt;O122,TEXT(INDEX(Escaleta!$C$1:$C$504,O124),"hh:mm")&amp;"–"&amp;TEXT(INDEX(Escaleta!$E$1:$E$504,O124),"hh:mm"),"")))</f>
        <v/>
      </c>
      <c r="F124" s="49">
        <f>IF(P124=0,"",IF(P124&lt;&gt;P123,INDEX(Escaleta!$F$1:$F$504,P124),IF(P124&lt;&gt;P122,TEXT(INDEX(Escaleta!$C$1:$C$504,P124),"hh:mm")&amp;"–"&amp;TEXT(INDEX(Escaleta!$E$1:$E$504,P124),"hh:mm"),"")))</f>
        <v/>
      </c>
      <c r="G124" s="49">
        <f>IF(Q124=0,"",IF(Q124&lt;&gt;Q123,INDEX(Escaleta!$F$1:$F$504,Q124),IF(Q124&lt;&gt;Q122,TEXT(INDEX(Escaleta!$C$1:$C$504,Q124),"hh:mm")&amp;"–"&amp;TEXT(INDEX(Escaleta!$E$1:$E$504,Q124),"hh:mm"),"")))</f>
        <v/>
      </c>
      <c r="H124" s="49">
        <f>IF(R124=0,"",IF(R124&lt;&gt;R123,INDEX(Escaleta!$F$1:$F$504,R124),IF(R124&lt;&gt;R122,TEXT(INDEX(Escaleta!$C$1:$C$504,R124),"hh:mm")&amp;"–"&amp;TEXT(INDEX(Escaleta!$E$1:$E$504,R124),"hh:mm"),"")))</f>
        <v/>
      </c>
      <c r="I124" s="49">
        <f>IF(S124=0,"",IF(S124&lt;&gt;S123,INDEX(Escaleta!$F$1:$F$504,S124),IF(S124&lt;&gt;S122,TEXT(INDEX(Escaleta!$C$1:$C$504,S124),"hh:mm")&amp;"–"&amp;TEXT(INDEX(Escaleta!$E$1:$E$504,S124),"hh:mm"),"")))</f>
        <v/>
      </c>
      <c r="L124" s="50">
        <f>IF(OR($A124="",B$6=""),0,SUMPRODUCT(MAX((Escaleta!$A$5:$A$504=$B$4)*(Escaleta!$H$5:$H$504=B$6)*(Escaleta!$K$5:$K$504&lt;&gt;"Cancelada")*(Escaleta!$C$5:$C$504&lt;$A124+Configuración!$C$7/1440)*(Escaleta!$E$5:$E$504&gt;$A124)*ROW(Escaleta!$A$5:$A$504))))</f>
        <v/>
      </c>
      <c r="M124" s="50">
        <f>IF(OR($A124="",C$6=""),0,SUMPRODUCT(MAX((Escaleta!$A$5:$A$504=$B$4)*(Escaleta!$H$5:$H$504=C$6)*(Escaleta!$K$5:$K$504&lt;&gt;"Cancelada")*(Escaleta!$C$5:$C$504&lt;$A124+Configuración!$C$7/1440)*(Escaleta!$E$5:$E$504&gt;$A124)*ROW(Escaleta!$A$5:$A$504))))</f>
        <v/>
      </c>
      <c r="N124" s="50">
        <f>IF(OR($A124="",D$6=""),0,SUMPRODUCT(MAX((Escaleta!$A$5:$A$504=$B$4)*(Escaleta!$H$5:$H$504=D$6)*(Escaleta!$K$5:$K$504&lt;&gt;"Cancelada")*(Escaleta!$C$5:$C$504&lt;$A124+Configuración!$C$7/1440)*(Escaleta!$E$5:$E$504&gt;$A124)*ROW(Escaleta!$A$5:$A$504))))</f>
        <v/>
      </c>
      <c r="O124" s="50">
        <f>IF(OR($A124="",E$6=""),0,SUMPRODUCT(MAX((Escaleta!$A$5:$A$504=$B$4)*(Escaleta!$H$5:$H$504=E$6)*(Escaleta!$K$5:$K$504&lt;&gt;"Cancelada")*(Escaleta!$C$5:$C$504&lt;$A124+Configuración!$C$7/1440)*(Escaleta!$E$5:$E$504&gt;$A124)*ROW(Escaleta!$A$5:$A$504))))</f>
        <v/>
      </c>
      <c r="P124" s="50">
        <f>IF(OR($A124="",F$6=""),0,SUMPRODUCT(MAX((Escaleta!$A$5:$A$504=$B$4)*(Escaleta!$H$5:$H$504=F$6)*(Escaleta!$K$5:$K$504&lt;&gt;"Cancelada")*(Escaleta!$C$5:$C$504&lt;$A124+Configuración!$C$7/1440)*(Escaleta!$E$5:$E$504&gt;$A124)*ROW(Escaleta!$A$5:$A$504))))</f>
        <v/>
      </c>
      <c r="Q124" s="50">
        <f>IF(OR($A124="",G$6=""),0,SUMPRODUCT(MAX((Escaleta!$A$5:$A$504=$B$4)*(Escaleta!$H$5:$H$504=G$6)*(Escaleta!$K$5:$K$504&lt;&gt;"Cancelada")*(Escaleta!$C$5:$C$504&lt;$A124+Configuración!$C$7/1440)*(Escaleta!$E$5:$E$504&gt;$A124)*ROW(Escaleta!$A$5:$A$504))))</f>
        <v/>
      </c>
      <c r="R124" s="50">
        <f>IF(OR($A124="",H$6=""),0,SUMPRODUCT(MAX((Escaleta!$A$5:$A$504=$B$4)*(Escaleta!$H$5:$H$504=H$6)*(Escaleta!$K$5:$K$504&lt;&gt;"Cancelada")*(Escaleta!$C$5:$C$504&lt;$A124+Configuración!$C$7/1440)*(Escaleta!$E$5:$E$504&gt;$A124)*ROW(Escaleta!$A$5:$A$504))))</f>
        <v/>
      </c>
      <c r="S124" s="50">
        <f>IF(OR($A124="",I$6=""),0,SUMPRODUCT(MAX((Escaleta!$A$5:$A$504=$B$4)*(Escaleta!$H$5:$H$504=I$6)*(Escaleta!$K$5:$K$504&lt;&gt;"Cancelada")*(Escaleta!$C$5:$C$504&lt;$A124+Configuración!$C$7/1440)*(Escaleta!$E$5:$E$504&gt;$A124)*ROW(Escaleta!$A$5:$A$504))))</f>
        <v/>
      </c>
      <c r="U124" s="50">
        <f>IF(L124=0,"",INDEX(Escaleta!$I$1:$I$504,L124))</f>
        <v/>
      </c>
      <c r="V124" s="50">
        <f>IF(M124=0,"",INDEX(Escaleta!$I$1:$I$504,M124))</f>
        <v/>
      </c>
      <c r="W124" s="50">
        <f>IF(N124=0,"",INDEX(Escaleta!$I$1:$I$504,N124))</f>
        <v/>
      </c>
      <c r="X124" s="50">
        <f>IF(O124=0,"",INDEX(Escaleta!$I$1:$I$504,O124))</f>
        <v/>
      </c>
      <c r="Y124" s="50">
        <f>IF(P124=0,"",INDEX(Escaleta!$I$1:$I$504,P124))</f>
        <v/>
      </c>
      <c r="Z124" s="50">
        <f>IF(Q124=0,"",INDEX(Escaleta!$I$1:$I$504,Q124))</f>
        <v/>
      </c>
      <c r="AA124" s="50">
        <f>IF(R124=0,"",INDEX(Escaleta!$I$1:$I$504,R124))</f>
        <v/>
      </c>
      <c r="AB124" s="50">
        <f>IF(S124=0,"",INDEX(Escaleta!$I$1:$I$504,S124))</f>
        <v/>
      </c>
    </row>
    <row r="125" ht="18" customHeight="1">
      <c r="A125" s="48">
        <f>IF(A124="","",IF(A124+Configuración!$C$7/1440&gt;Configuración!$C$6-0.0001,"",A124+Configuración!$C$7/1440))</f>
        <v/>
      </c>
      <c r="B125" s="49">
        <f>IF(L125=0,"",IF(L125&lt;&gt;L124,INDEX(Escaleta!$F$1:$F$504,L125),IF(L125&lt;&gt;L123,TEXT(INDEX(Escaleta!$C$1:$C$504,L125),"hh:mm")&amp;"–"&amp;TEXT(INDEX(Escaleta!$E$1:$E$504,L125),"hh:mm"),"")))</f>
        <v/>
      </c>
      <c r="C125" s="49">
        <f>IF(M125=0,"",IF(M125&lt;&gt;M124,INDEX(Escaleta!$F$1:$F$504,M125),IF(M125&lt;&gt;M123,TEXT(INDEX(Escaleta!$C$1:$C$504,M125),"hh:mm")&amp;"–"&amp;TEXT(INDEX(Escaleta!$E$1:$E$504,M125),"hh:mm"),"")))</f>
        <v/>
      </c>
      <c r="D125" s="49">
        <f>IF(N125=0,"",IF(N125&lt;&gt;N124,INDEX(Escaleta!$F$1:$F$504,N125),IF(N125&lt;&gt;N123,TEXT(INDEX(Escaleta!$C$1:$C$504,N125),"hh:mm")&amp;"–"&amp;TEXT(INDEX(Escaleta!$E$1:$E$504,N125),"hh:mm"),"")))</f>
        <v/>
      </c>
      <c r="E125" s="49">
        <f>IF(O125=0,"",IF(O125&lt;&gt;O124,INDEX(Escaleta!$F$1:$F$504,O125),IF(O125&lt;&gt;O123,TEXT(INDEX(Escaleta!$C$1:$C$504,O125),"hh:mm")&amp;"–"&amp;TEXT(INDEX(Escaleta!$E$1:$E$504,O125),"hh:mm"),"")))</f>
        <v/>
      </c>
      <c r="F125" s="49">
        <f>IF(P125=0,"",IF(P125&lt;&gt;P124,INDEX(Escaleta!$F$1:$F$504,P125),IF(P125&lt;&gt;P123,TEXT(INDEX(Escaleta!$C$1:$C$504,P125),"hh:mm")&amp;"–"&amp;TEXT(INDEX(Escaleta!$E$1:$E$504,P125),"hh:mm"),"")))</f>
        <v/>
      </c>
      <c r="G125" s="49">
        <f>IF(Q125=0,"",IF(Q125&lt;&gt;Q124,INDEX(Escaleta!$F$1:$F$504,Q125),IF(Q125&lt;&gt;Q123,TEXT(INDEX(Escaleta!$C$1:$C$504,Q125),"hh:mm")&amp;"–"&amp;TEXT(INDEX(Escaleta!$E$1:$E$504,Q125),"hh:mm"),"")))</f>
        <v/>
      </c>
      <c r="H125" s="49">
        <f>IF(R125=0,"",IF(R125&lt;&gt;R124,INDEX(Escaleta!$F$1:$F$504,R125),IF(R125&lt;&gt;R123,TEXT(INDEX(Escaleta!$C$1:$C$504,R125),"hh:mm")&amp;"–"&amp;TEXT(INDEX(Escaleta!$E$1:$E$504,R125),"hh:mm"),"")))</f>
        <v/>
      </c>
      <c r="I125" s="49">
        <f>IF(S125=0,"",IF(S125&lt;&gt;S124,INDEX(Escaleta!$F$1:$F$504,S125),IF(S125&lt;&gt;S123,TEXT(INDEX(Escaleta!$C$1:$C$504,S125),"hh:mm")&amp;"–"&amp;TEXT(INDEX(Escaleta!$E$1:$E$504,S125),"hh:mm"),"")))</f>
        <v/>
      </c>
      <c r="L125" s="50">
        <f>IF(OR($A125="",B$6=""),0,SUMPRODUCT(MAX((Escaleta!$A$5:$A$504=$B$4)*(Escaleta!$H$5:$H$504=B$6)*(Escaleta!$K$5:$K$504&lt;&gt;"Cancelada")*(Escaleta!$C$5:$C$504&lt;$A125+Configuración!$C$7/1440)*(Escaleta!$E$5:$E$504&gt;$A125)*ROW(Escaleta!$A$5:$A$504))))</f>
        <v/>
      </c>
      <c r="M125" s="50">
        <f>IF(OR($A125="",C$6=""),0,SUMPRODUCT(MAX((Escaleta!$A$5:$A$504=$B$4)*(Escaleta!$H$5:$H$504=C$6)*(Escaleta!$K$5:$K$504&lt;&gt;"Cancelada")*(Escaleta!$C$5:$C$504&lt;$A125+Configuración!$C$7/1440)*(Escaleta!$E$5:$E$504&gt;$A125)*ROW(Escaleta!$A$5:$A$504))))</f>
        <v/>
      </c>
      <c r="N125" s="50">
        <f>IF(OR($A125="",D$6=""),0,SUMPRODUCT(MAX((Escaleta!$A$5:$A$504=$B$4)*(Escaleta!$H$5:$H$504=D$6)*(Escaleta!$K$5:$K$504&lt;&gt;"Cancelada")*(Escaleta!$C$5:$C$504&lt;$A125+Configuración!$C$7/1440)*(Escaleta!$E$5:$E$504&gt;$A125)*ROW(Escaleta!$A$5:$A$504))))</f>
        <v/>
      </c>
      <c r="O125" s="50">
        <f>IF(OR($A125="",E$6=""),0,SUMPRODUCT(MAX((Escaleta!$A$5:$A$504=$B$4)*(Escaleta!$H$5:$H$504=E$6)*(Escaleta!$K$5:$K$504&lt;&gt;"Cancelada")*(Escaleta!$C$5:$C$504&lt;$A125+Configuración!$C$7/1440)*(Escaleta!$E$5:$E$504&gt;$A125)*ROW(Escaleta!$A$5:$A$504))))</f>
        <v/>
      </c>
      <c r="P125" s="50">
        <f>IF(OR($A125="",F$6=""),0,SUMPRODUCT(MAX((Escaleta!$A$5:$A$504=$B$4)*(Escaleta!$H$5:$H$504=F$6)*(Escaleta!$K$5:$K$504&lt;&gt;"Cancelada")*(Escaleta!$C$5:$C$504&lt;$A125+Configuración!$C$7/1440)*(Escaleta!$E$5:$E$504&gt;$A125)*ROW(Escaleta!$A$5:$A$504))))</f>
        <v/>
      </c>
      <c r="Q125" s="50">
        <f>IF(OR($A125="",G$6=""),0,SUMPRODUCT(MAX((Escaleta!$A$5:$A$504=$B$4)*(Escaleta!$H$5:$H$504=G$6)*(Escaleta!$K$5:$K$504&lt;&gt;"Cancelada")*(Escaleta!$C$5:$C$504&lt;$A125+Configuración!$C$7/1440)*(Escaleta!$E$5:$E$504&gt;$A125)*ROW(Escaleta!$A$5:$A$504))))</f>
        <v/>
      </c>
      <c r="R125" s="50">
        <f>IF(OR($A125="",H$6=""),0,SUMPRODUCT(MAX((Escaleta!$A$5:$A$504=$B$4)*(Escaleta!$H$5:$H$504=H$6)*(Escaleta!$K$5:$K$504&lt;&gt;"Cancelada")*(Escaleta!$C$5:$C$504&lt;$A125+Configuración!$C$7/1440)*(Escaleta!$E$5:$E$504&gt;$A125)*ROW(Escaleta!$A$5:$A$504))))</f>
        <v/>
      </c>
      <c r="S125" s="50">
        <f>IF(OR($A125="",I$6=""),0,SUMPRODUCT(MAX((Escaleta!$A$5:$A$504=$B$4)*(Escaleta!$H$5:$H$504=I$6)*(Escaleta!$K$5:$K$504&lt;&gt;"Cancelada")*(Escaleta!$C$5:$C$504&lt;$A125+Configuración!$C$7/1440)*(Escaleta!$E$5:$E$504&gt;$A125)*ROW(Escaleta!$A$5:$A$504))))</f>
        <v/>
      </c>
      <c r="U125" s="50">
        <f>IF(L125=0,"",INDEX(Escaleta!$I$1:$I$504,L125))</f>
        <v/>
      </c>
      <c r="V125" s="50">
        <f>IF(M125=0,"",INDEX(Escaleta!$I$1:$I$504,M125))</f>
        <v/>
      </c>
      <c r="W125" s="50">
        <f>IF(N125=0,"",INDEX(Escaleta!$I$1:$I$504,N125))</f>
        <v/>
      </c>
      <c r="X125" s="50">
        <f>IF(O125=0,"",INDEX(Escaleta!$I$1:$I$504,O125))</f>
        <v/>
      </c>
      <c r="Y125" s="50">
        <f>IF(P125=0,"",INDEX(Escaleta!$I$1:$I$504,P125))</f>
        <v/>
      </c>
      <c r="Z125" s="50">
        <f>IF(Q125=0,"",INDEX(Escaleta!$I$1:$I$504,Q125))</f>
        <v/>
      </c>
      <c r="AA125" s="50">
        <f>IF(R125=0,"",INDEX(Escaleta!$I$1:$I$504,R125))</f>
        <v/>
      </c>
      <c r="AB125" s="50">
        <f>IF(S125=0,"",INDEX(Escaleta!$I$1:$I$504,S125))</f>
        <v/>
      </c>
    </row>
    <row r="126" ht="18" customHeight="1">
      <c r="A126" s="48">
        <f>IF(A125="","",IF(A125+Configuración!$C$7/1440&gt;Configuración!$C$6-0.0001,"",A125+Configuración!$C$7/1440))</f>
        <v/>
      </c>
      <c r="B126" s="49">
        <f>IF(L126=0,"",IF(L126&lt;&gt;L125,INDEX(Escaleta!$F$1:$F$504,L126),IF(L126&lt;&gt;L124,TEXT(INDEX(Escaleta!$C$1:$C$504,L126),"hh:mm")&amp;"–"&amp;TEXT(INDEX(Escaleta!$E$1:$E$504,L126),"hh:mm"),"")))</f>
        <v/>
      </c>
      <c r="C126" s="49">
        <f>IF(M126=0,"",IF(M126&lt;&gt;M125,INDEX(Escaleta!$F$1:$F$504,M126),IF(M126&lt;&gt;M124,TEXT(INDEX(Escaleta!$C$1:$C$504,M126),"hh:mm")&amp;"–"&amp;TEXT(INDEX(Escaleta!$E$1:$E$504,M126),"hh:mm"),"")))</f>
        <v/>
      </c>
      <c r="D126" s="49">
        <f>IF(N126=0,"",IF(N126&lt;&gt;N125,INDEX(Escaleta!$F$1:$F$504,N126),IF(N126&lt;&gt;N124,TEXT(INDEX(Escaleta!$C$1:$C$504,N126),"hh:mm")&amp;"–"&amp;TEXT(INDEX(Escaleta!$E$1:$E$504,N126),"hh:mm"),"")))</f>
        <v/>
      </c>
      <c r="E126" s="49">
        <f>IF(O126=0,"",IF(O126&lt;&gt;O125,INDEX(Escaleta!$F$1:$F$504,O126),IF(O126&lt;&gt;O124,TEXT(INDEX(Escaleta!$C$1:$C$504,O126),"hh:mm")&amp;"–"&amp;TEXT(INDEX(Escaleta!$E$1:$E$504,O126),"hh:mm"),"")))</f>
        <v/>
      </c>
      <c r="F126" s="49">
        <f>IF(P126=0,"",IF(P126&lt;&gt;P125,INDEX(Escaleta!$F$1:$F$504,P126),IF(P126&lt;&gt;P124,TEXT(INDEX(Escaleta!$C$1:$C$504,P126),"hh:mm")&amp;"–"&amp;TEXT(INDEX(Escaleta!$E$1:$E$504,P126),"hh:mm"),"")))</f>
        <v/>
      </c>
      <c r="G126" s="49">
        <f>IF(Q126=0,"",IF(Q126&lt;&gt;Q125,INDEX(Escaleta!$F$1:$F$504,Q126),IF(Q126&lt;&gt;Q124,TEXT(INDEX(Escaleta!$C$1:$C$504,Q126),"hh:mm")&amp;"–"&amp;TEXT(INDEX(Escaleta!$E$1:$E$504,Q126),"hh:mm"),"")))</f>
        <v/>
      </c>
      <c r="H126" s="49">
        <f>IF(R126=0,"",IF(R126&lt;&gt;R125,INDEX(Escaleta!$F$1:$F$504,R126),IF(R126&lt;&gt;R124,TEXT(INDEX(Escaleta!$C$1:$C$504,R126),"hh:mm")&amp;"–"&amp;TEXT(INDEX(Escaleta!$E$1:$E$504,R126),"hh:mm"),"")))</f>
        <v/>
      </c>
      <c r="I126" s="49">
        <f>IF(S126=0,"",IF(S126&lt;&gt;S125,INDEX(Escaleta!$F$1:$F$504,S126),IF(S126&lt;&gt;S124,TEXT(INDEX(Escaleta!$C$1:$C$504,S126),"hh:mm")&amp;"–"&amp;TEXT(INDEX(Escaleta!$E$1:$E$504,S126),"hh:mm"),"")))</f>
        <v/>
      </c>
      <c r="L126" s="50">
        <f>IF(OR($A126="",B$6=""),0,SUMPRODUCT(MAX((Escaleta!$A$5:$A$504=$B$4)*(Escaleta!$H$5:$H$504=B$6)*(Escaleta!$K$5:$K$504&lt;&gt;"Cancelada")*(Escaleta!$C$5:$C$504&lt;$A126+Configuración!$C$7/1440)*(Escaleta!$E$5:$E$504&gt;$A126)*ROW(Escaleta!$A$5:$A$504))))</f>
        <v/>
      </c>
      <c r="M126" s="50">
        <f>IF(OR($A126="",C$6=""),0,SUMPRODUCT(MAX((Escaleta!$A$5:$A$504=$B$4)*(Escaleta!$H$5:$H$504=C$6)*(Escaleta!$K$5:$K$504&lt;&gt;"Cancelada")*(Escaleta!$C$5:$C$504&lt;$A126+Configuración!$C$7/1440)*(Escaleta!$E$5:$E$504&gt;$A126)*ROW(Escaleta!$A$5:$A$504))))</f>
        <v/>
      </c>
      <c r="N126" s="50">
        <f>IF(OR($A126="",D$6=""),0,SUMPRODUCT(MAX((Escaleta!$A$5:$A$504=$B$4)*(Escaleta!$H$5:$H$504=D$6)*(Escaleta!$K$5:$K$504&lt;&gt;"Cancelada")*(Escaleta!$C$5:$C$504&lt;$A126+Configuración!$C$7/1440)*(Escaleta!$E$5:$E$504&gt;$A126)*ROW(Escaleta!$A$5:$A$504))))</f>
        <v/>
      </c>
      <c r="O126" s="50">
        <f>IF(OR($A126="",E$6=""),0,SUMPRODUCT(MAX((Escaleta!$A$5:$A$504=$B$4)*(Escaleta!$H$5:$H$504=E$6)*(Escaleta!$K$5:$K$504&lt;&gt;"Cancelada")*(Escaleta!$C$5:$C$504&lt;$A126+Configuración!$C$7/1440)*(Escaleta!$E$5:$E$504&gt;$A126)*ROW(Escaleta!$A$5:$A$504))))</f>
        <v/>
      </c>
      <c r="P126" s="50">
        <f>IF(OR($A126="",F$6=""),0,SUMPRODUCT(MAX((Escaleta!$A$5:$A$504=$B$4)*(Escaleta!$H$5:$H$504=F$6)*(Escaleta!$K$5:$K$504&lt;&gt;"Cancelada")*(Escaleta!$C$5:$C$504&lt;$A126+Configuración!$C$7/1440)*(Escaleta!$E$5:$E$504&gt;$A126)*ROW(Escaleta!$A$5:$A$504))))</f>
        <v/>
      </c>
      <c r="Q126" s="50">
        <f>IF(OR($A126="",G$6=""),0,SUMPRODUCT(MAX((Escaleta!$A$5:$A$504=$B$4)*(Escaleta!$H$5:$H$504=G$6)*(Escaleta!$K$5:$K$504&lt;&gt;"Cancelada")*(Escaleta!$C$5:$C$504&lt;$A126+Configuración!$C$7/1440)*(Escaleta!$E$5:$E$504&gt;$A126)*ROW(Escaleta!$A$5:$A$504))))</f>
        <v/>
      </c>
      <c r="R126" s="50">
        <f>IF(OR($A126="",H$6=""),0,SUMPRODUCT(MAX((Escaleta!$A$5:$A$504=$B$4)*(Escaleta!$H$5:$H$504=H$6)*(Escaleta!$K$5:$K$504&lt;&gt;"Cancelada")*(Escaleta!$C$5:$C$504&lt;$A126+Configuración!$C$7/1440)*(Escaleta!$E$5:$E$504&gt;$A126)*ROW(Escaleta!$A$5:$A$504))))</f>
        <v/>
      </c>
      <c r="S126" s="50">
        <f>IF(OR($A126="",I$6=""),0,SUMPRODUCT(MAX((Escaleta!$A$5:$A$504=$B$4)*(Escaleta!$H$5:$H$504=I$6)*(Escaleta!$K$5:$K$504&lt;&gt;"Cancelada")*(Escaleta!$C$5:$C$504&lt;$A126+Configuración!$C$7/1440)*(Escaleta!$E$5:$E$504&gt;$A126)*ROW(Escaleta!$A$5:$A$504))))</f>
        <v/>
      </c>
      <c r="U126" s="50">
        <f>IF(L126=0,"",INDEX(Escaleta!$I$1:$I$504,L126))</f>
        <v/>
      </c>
      <c r="V126" s="50">
        <f>IF(M126=0,"",INDEX(Escaleta!$I$1:$I$504,M126))</f>
        <v/>
      </c>
      <c r="W126" s="50">
        <f>IF(N126=0,"",INDEX(Escaleta!$I$1:$I$504,N126))</f>
        <v/>
      </c>
      <c r="X126" s="50">
        <f>IF(O126=0,"",INDEX(Escaleta!$I$1:$I$504,O126))</f>
        <v/>
      </c>
      <c r="Y126" s="50">
        <f>IF(P126=0,"",INDEX(Escaleta!$I$1:$I$504,P126))</f>
        <v/>
      </c>
      <c r="Z126" s="50">
        <f>IF(Q126=0,"",INDEX(Escaleta!$I$1:$I$504,Q126))</f>
        <v/>
      </c>
      <c r="AA126" s="50">
        <f>IF(R126=0,"",INDEX(Escaleta!$I$1:$I$504,R126))</f>
        <v/>
      </c>
      <c r="AB126" s="50">
        <f>IF(S126=0,"",INDEX(Escaleta!$I$1:$I$504,S126))</f>
        <v/>
      </c>
    </row>
    <row r="127" ht="18" customHeight="1">
      <c r="A127" s="48">
        <f>IF(A126="","",IF(A126+Configuración!$C$7/1440&gt;Configuración!$C$6-0.0001,"",A126+Configuración!$C$7/1440))</f>
        <v/>
      </c>
      <c r="B127" s="49">
        <f>IF(L127=0,"",IF(L127&lt;&gt;L126,INDEX(Escaleta!$F$1:$F$504,L127),IF(L127&lt;&gt;L125,TEXT(INDEX(Escaleta!$C$1:$C$504,L127),"hh:mm")&amp;"–"&amp;TEXT(INDEX(Escaleta!$E$1:$E$504,L127),"hh:mm"),"")))</f>
        <v/>
      </c>
      <c r="C127" s="49">
        <f>IF(M127=0,"",IF(M127&lt;&gt;M126,INDEX(Escaleta!$F$1:$F$504,M127),IF(M127&lt;&gt;M125,TEXT(INDEX(Escaleta!$C$1:$C$504,M127),"hh:mm")&amp;"–"&amp;TEXT(INDEX(Escaleta!$E$1:$E$504,M127),"hh:mm"),"")))</f>
        <v/>
      </c>
      <c r="D127" s="49">
        <f>IF(N127=0,"",IF(N127&lt;&gt;N126,INDEX(Escaleta!$F$1:$F$504,N127),IF(N127&lt;&gt;N125,TEXT(INDEX(Escaleta!$C$1:$C$504,N127),"hh:mm")&amp;"–"&amp;TEXT(INDEX(Escaleta!$E$1:$E$504,N127),"hh:mm"),"")))</f>
        <v/>
      </c>
      <c r="E127" s="49">
        <f>IF(O127=0,"",IF(O127&lt;&gt;O126,INDEX(Escaleta!$F$1:$F$504,O127),IF(O127&lt;&gt;O125,TEXT(INDEX(Escaleta!$C$1:$C$504,O127),"hh:mm")&amp;"–"&amp;TEXT(INDEX(Escaleta!$E$1:$E$504,O127),"hh:mm"),"")))</f>
        <v/>
      </c>
      <c r="F127" s="49">
        <f>IF(P127=0,"",IF(P127&lt;&gt;P126,INDEX(Escaleta!$F$1:$F$504,P127),IF(P127&lt;&gt;P125,TEXT(INDEX(Escaleta!$C$1:$C$504,P127),"hh:mm")&amp;"–"&amp;TEXT(INDEX(Escaleta!$E$1:$E$504,P127),"hh:mm"),"")))</f>
        <v/>
      </c>
      <c r="G127" s="49">
        <f>IF(Q127=0,"",IF(Q127&lt;&gt;Q126,INDEX(Escaleta!$F$1:$F$504,Q127),IF(Q127&lt;&gt;Q125,TEXT(INDEX(Escaleta!$C$1:$C$504,Q127),"hh:mm")&amp;"–"&amp;TEXT(INDEX(Escaleta!$E$1:$E$504,Q127),"hh:mm"),"")))</f>
        <v/>
      </c>
      <c r="H127" s="49">
        <f>IF(R127=0,"",IF(R127&lt;&gt;R126,INDEX(Escaleta!$F$1:$F$504,R127),IF(R127&lt;&gt;R125,TEXT(INDEX(Escaleta!$C$1:$C$504,R127),"hh:mm")&amp;"–"&amp;TEXT(INDEX(Escaleta!$E$1:$E$504,R127),"hh:mm"),"")))</f>
        <v/>
      </c>
      <c r="I127" s="49">
        <f>IF(S127=0,"",IF(S127&lt;&gt;S126,INDEX(Escaleta!$F$1:$F$504,S127),IF(S127&lt;&gt;S125,TEXT(INDEX(Escaleta!$C$1:$C$504,S127),"hh:mm")&amp;"–"&amp;TEXT(INDEX(Escaleta!$E$1:$E$504,S127),"hh:mm"),"")))</f>
        <v/>
      </c>
      <c r="L127" s="50">
        <f>IF(OR($A127="",B$6=""),0,SUMPRODUCT(MAX((Escaleta!$A$5:$A$504=$B$4)*(Escaleta!$H$5:$H$504=B$6)*(Escaleta!$K$5:$K$504&lt;&gt;"Cancelada")*(Escaleta!$C$5:$C$504&lt;$A127+Configuración!$C$7/1440)*(Escaleta!$E$5:$E$504&gt;$A127)*ROW(Escaleta!$A$5:$A$504))))</f>
        <v/>
      </c>
      <c r="M127" s="50">
        <f>IF(OR($A127="",C$6=""),0,SUMPRODUCT(MAX((Escaleta!$A$5:$A$504=$B$4)*(Escaleta!$H$5:$H$504=C$6)*(Escaleta!$K$5:$K$504&lt;&gt;"Cancelada")*(Escaleta!$C$5:$C$504&lt;$A127+Configuración!$C$7/1440)*(Escaleta!$E$5:$E$504&gt;$A127)*ROW(Escaleta!$A$5:$A$504))))</f>
        <v/>
      </c>
      <c r="N127" s="50">
        <f>IF(OR($A127="",D$6=""),0,SUMPRODUCT(MAX((Escaleta!$A$5:$A$504=$B$4)*(Escaleta!$H$5:$H$504=D$6)*(Escaleta!$K$5:$K$504&lt;&gt;"Cancelada")*(Escaleta!$C$5:$C$504&lt;$A127+Configuración!$C$7/1440)*(Escaleta!$E$5:$E$504&gt;$A127)*ROW(Escaleta!$A$5:$A$504))))</f>
        <v/>
      </c>
      <c r="O127" s="50">
        <f>IF(OR($A127="",E$6=""),0,SUMPRODUCT(MAX((Escaleta!$A$5:$A$504=$B$4)*(Escaleta!$H$5:$H$504=E$6)*(Escaleta!$K$5:$K$504&lt;&gt;"Cancelada")*(Escaleta!$C$5:$C$504&lt;$A127+Configuración!$C$7/1440)*(Escaleta!$E$5:$E$504&gt;$A127)*ROW(Escaleta!$A$5:$A$504))))</f>
        <v/>
      </c>
      <c r="P127" s="50">
        <f>IF(OR($A127="",F$6=""),0,SUMPRODUCT(MAX((Escaleta!$A$5:$A$504=$B$4)*(Escaleta!$H$5:$H$504=F$6)*(Escaleta!$K$5:$K$504&lt;&gt;"Cancelada")*(Escaleta!$C$5:$C$504&lt;$A127+Configuración!$C$7/1440)*(Escaleta!$E$5:$E$504&gt;$A127)*ROW(Escaleta!$A$5:$A$504))))</f>
        <v/>
      </c>
      <c r="Q127" s="50">
        <f>IF(OR($A127="",G$6=""),0,SUMPRODUCT(MAX((Escaleta!$A$5:$A$504=$B$4)*(Escaleta!$H$5:$H$504=G$6)*(Escaleta!$K$5:$K$504&lt;&gt;"Cancelada")*(Escaleta!$C$5:$C$504&lt;$A127+Configuración!$C$7/1440)*(Escaleta!$E$5:$E$504&gt;$A127)*ROW(Escaleta!$A$5:$A$504))))</f>
        <v/>
      </c>
      <c r="R127" s="50">
        <f>IF(OR($A127="",H$6=""),0,SUMPRODUCT(MAX((Escaleta!$A$5:$A$504=$B$4)*(Escaleta!$H$5:$H$504=H$6)*(Escaleta!$K$5:$K$504&lt;&gt;"Cancelada")*(Escaleta!$C$5:$C$504&lt;$A127+Configuración!$C$7/1440)*(Escaleta!$E$5:$E$504&gt;$A127)*ROW(Escaleta!$A$5:$A$504))))</f>
        <v/>
      </c>
      <c r="S127" s="50">
        <f>IF(OR($A127="",I$6=""),0,SUMPRODUCT(MAX((Escaleta!$A$5:$A$504=$B$4)*(Escaleta!$H$5:$H$504=I$6)*(Escaleta!$K$5:$K$504&lt;&gt;"Cancelada")*(Escaleta!$C$5:$C$504&lt;$A127+Configuración!$C$7/1440)*(Escaleta!$E$5:$E$504&gt;$A127)*ROW(Escaleta!$A$5:$A$504))))</f>
        <v/>
      </c>
      <c r="U127" s="50">
        <f>IF(L127=0,"",INDEX(Escaleta!$I$1:$I$504,L127))</f>
        <v/>
      </c>
      <c r="V127" s="50">
        <f>IF(M127=0,"",INDEX(Escaleta!$I$1:$I$504,M127))</f>
        <v/>
      </c>
      <c r="W127" s="50">
        <f>IF(N127=0,"",INDEX(Escaleta!$I$1:$I$504,N127))</f>
        <v/>
      </c>
      <c r="X127" s="50">
        <f>IF(O127=0,"",INDEX(Escaleta!$I$1:$I$504,O127))</f>
        <v/>
      </c>
      <c r="Y127" s="50">
        <f>IF(P127=0,"",INDEX(Escaleta!$I$1:$I$504,P127))</f>
        <v/>
      </c>
      <c r="Z127" s="50">
        <f>IF(Q127=0,"",INDEX(Escaleta!$I$1:$I$504,Q127))</f>
        <v/>
      </c>
      <c r="AA127" s="50">
        <f>IF(R127=0,"",INDEX(Escaleta!$I$1:$I$504,R127))</f>
        <v/>
      </c>
      <c r="AB127" s="50">
        <f>IF(S127=0,"",INDEX(Escaleta!$I$1:$I$504,S127))</f>
        <v/>
      </c>
    </row>
    <row r="128" ht="18" customHeight="1">
      <c r="A128" s="48">
        <f>IF(A127="","",IF(A127+Configuración!$C$7/1440&gt;Configuración!$C$6-0.0001,"",A127+Configuración!$C$7/1440))</f>
        <v/>
      </c>
      <c r="B128" s="49">
        <f>IF(L128=0,"",IF(L128&lt;&gt;L127,INDEX(Escaleta!$F$1:$F$504,L128),IF(L128&lt;&gt;L126,TEXT(INDEX(Escaleta!$C$1:$C$504,L128),"hh:mm")&amp;"–"&amp;TEXT(INDEX(Escaleta!$E$1:$E$504,L128),"hh:mm"),"")))</f>
        <v/>
      </c>
      <c r="C128" s="49">
        <f>IF(M128=0,"",IF(M128&lt;&gt;M127,INDEX(Escaleta!$F$1:$F$504,M128),IF(M128&lt;&gt;M126,TEXT(INDEX(Escaleta!$C$1:$C$504,M128),"hh:mm")&amp;"–"&amp;TEXT(INDEX(Escaleta!$E$1:$E$504,M128),"hh:mm"),"")))</f>
        <v/>
      </c>
      <c r="D128" s="49">
        <f>IF(N128=0,"",IF(N128&lt;&gt;N127,INDEX(Escaleta!$F$1:$F$504,N128),IF(N128&lt;&gt;N126,TEXT(INDEX(Escaleta!$C$1:$C$504,N128),"hh:mm")&amp;"–"&amp;TEXT(INDEX(Escaleta!$E$1:$E$504,N128),"hh:mm"),"")))</f>
        <v/>
      </c>
      <c r="E128" s="49">
        <f>IF(O128=0,"",IF(O128&lt;&gt;O127,INDEX(Escaleta!$F$1:$F$504,O128),IF(O128&lt;&gt;O126,TEXT(INDEX(Escaleta!$C$1:$C$504,O128),"hh:mm")&amp;"–"&amp;TEXT(INDEX(Escaleta!$E$1:$E$504,O128),"hh:mm"),"")))</f>
        <v/>
      </c>
      <c r="F128" s="49">
        <f>IF(P128=0,"",IF(P128&lt;&gt;P127,INDEX(Escaleta!$F$1:$F$504,P128),IF(P128&lt;&gt;P126,TEXT(INDEX(Escaleta!$C$1:$C$504,P128),"hh:mm")&amp;"–"&amp;TEXT(INDEX(Escaleta!$E$1:$E$504,P128),"hh:mm"),"")))</f>
        <v/>
      </c>
      <c r="G128" s="49">
        <f>IF(Q128=0,"",IF(Q128&lt;&gt;Q127,INDEX(Escaleta!$F$1:$F$504,Q128),IF(Q128&lt;&gt;Q126,TEXT(INDEX(Escaleta!$C$1:$C$504,Q128),"hh:mm")&amp;"–"&amp;TEXT(INDEX(Escaleta!$E$1:$E$504,Q128),"hh:mm"),"")))</f>
        <v/>
      </c>
      <c r="H128" s="49">
        <f>IF(R128=0,"",IF(R128&lt;&gt;R127,INDEX(Escaleta!$F$1:$F$504,R128),IF(R128&lt;&gt;R126,TEXT(INDEX(Escaleta!$C$1:$C$504,R128),"hh:mm")&amp;"–"&amp;TEXT(INDEX(Escaleta!$E$1:$E$504,R128),"hh:mm"),"")))</f>
        <v/>
      </c>
      <c r="I128" s="49">
        <f>IF(S128=0,"",IF(S128&lt;&gt;S127,INDEX(Escaleta!$F$1:$F$504,S128),IF(S128&lt;&gt;S126,TEXT(INDEX(Escaleta!$C$1:$C$504,S128),"hh:mm")&amp;"–"&amp;TEXT(INDEX(Escaleta!$E$1:$E$504,S128),"hh:mm"),"")))</f>
        <v/>
      </c>
      <c r="L128" s="50">
        <f>IF(OR($A128="",B$6=""),0,SUMPRODUCT(MAX((Escaleta!$A$5:$A$504=$B$4)*(Escaleta!$H$5:$H$504=B$6)*(Escaleta!$K$5:$K$504&lt;&gt;"Cancelada")*(Escaleta!$C$5:$C$504&lt;$A128+Configuración!$C$7/1440)*(Escaleta!$E$5:$E$504&gt;$A128)*ROW(Escaleta!$A$5:$A$504))))</f>
        <v/>
      </c>
      <c r="M128" s="50">
        <f>IF(OR($A128="",C$6=""),0,SUMPRODUCT(MAX((Escaleta!$A$5:$A$504=$B$4)*(Escaleta!$H$5:$H$504=C$6)*(Escaleta!$K$5:$K$504&lt;&gt;"Cancelada")*(Escaleta!$C$5:$C$504&lt;$A128+Configuración!$C$7/1440)*(Escaleta!$E$5:$E$504&gt;$A128)*ROW(Escaleta!$A$5:$A$504))))</f>
        <v/>
      </c>
      <c r="N128" s="50">
        <f>IF(OR($A128="",D$6=""),0,SUMPRODUCT(MAX((Escaleta!$A$5:$A$504=$B$4)*(Escaleta!$H$5:$H$504=D$6)*(Escaleta!$K$5:$K$504&lt;&gt;"Cancelada")*(Escaleta!$C$5:$C$504&lt;$A128+Configuración!$C$7/1440)*(Escaleta!$E$5:$E$504&gt;$A128)*ROW(Escaleta!$A$5:$A$504))))</f>
        <v/>
      </c>
      <c r="O128" s="50">
        <f>IF(OR($A128="",E$6=""),0,SUMPRODUCT(MAX((Escaleta!$A$5:$A$504=$B$4)*(Escaleta!$H$5:$H$504=E$6)*(Escaleta!$K$5:$K$504&lt;&gt;"Cancelada")*(Escaleta!$C$5:$C$504&lt;$A128+Configuración!$C$7/1440)*(Escaleta!$E$5:$E$504&gt;$A128)*ROW(Escaleta!$A$5:$A$504))))</f>
        <v/>
      </c>
      <c r="P128" s="50">
        <f>IF(OR($A128="",F$6=""),0,SUMPRODUCT(MAX((Escaleta!$A$5:$A$504=$B$4)*(Escaleta!$H$5:$H$504=F$6)*(Escaleta!$K$5:$K$504&lt;&gt;"Cancelada")*(Escaleta!$C$5:$C$504&lt;$A128+Configuración!$C$7/1440)*(Escaleta!$E$5:$E$504&gt;$A128)*ROW(Escaleta!$A$5:$A$504))))</f>
        <v/>
      </c>
      <c r="Q128" s="50">
        <f>IF(OR($A128="",G$6=""),0,SUMPRODUCT(MAX((Escaleta!$A$5:$A$504=$B$4)*(Escaleta!$H$5:$H$504=G$6)*(Escaleta!$K$5:$K$504&lt;&gt;"Cancelada")*(Escaleta!$C$5:$C$504&lt;$A128+Configuración!$C$7/1440)*(Escaleta!$E$5:$E$504&gt;$A128)*ROW(Escaleta!$A$5:$A$504))))</f>
        <v/>
      </c>
      <c r="R128" s="50">
        <f>IF(OR($A128="",H$6=""),0,SUMPRODUCT(MAX((Escaleta!$A$5:$A$504=$B$4)*(Escaleta!$H$5:$H$504=H$6)*(Escaleta!$K$5:$K$504&lt;&gt;"Cancelada")*(Escaleta!$C$5:$C$504&lt;$A128+Configuración!$C$7/1440)*(Escaleta!$E$5:$E$504&gt;$A128)*ROW(Escaleta!$A$5:$A$504))))</f>
        <v/>
      </c>
      <c r="S128" s="50">
        <f>IF(OR($A128="",I$6=""),0,SUMPRODUCT(MAX((Escaleta!$A$5:$A$504=$B$4)*(Escaleta!$H$5:$H$504=I$6)*(Escaleta!$K$5:$K$504&lt;&gt;"Cancelada")*(Escaleta!$C$5:$C$504&lt;$A128+Configuración!$C$7/1440)*(Escaleta!$E$5:$E$504&gt;$A128)*ROW(Escaleta!$A$5:$A$504))))</f>
        <v/>
      </c>
      <c r="U128" s="50">
        <f>IF(L128=0,"",INDEX(Escaleta!$I$1:$I$504,L128))</f>
        <v/>
      </c>
      <c r="V128" s="50">
        <f>IF(M128=0,"",INDEX(Escaleta!$I$1:$I$504,M128))</f>
        <v/>
      </c>
      <c r="W128" s="50">
        <f>IF(N128=0,"",INDEX(Escaleta!$I$1:$I$504,N128))</f>
        <v/>
      </c>
      <c r="X128" s="50">
        <f>IF(O128=0,"",INDEX(Escaleta!$I$1:$I$504,O128))</f>
        <v/>
      </c>
      <c r="Y128" s="50">
        <f>IF(P128=0,"",INDEX(Escaleta!$I$1:$I$504,P128))</f>
        <v/>
      </c>
      <c r="Z128" s="50">
        <f>IF(Q128=0,"",INDEX(Escaleta!$I$1:$I$504,Q128))</f>
        <v/>
      </c>
      <c r="AA128" s="50">
        <f>IF(R128=0,"",INDEX(Escaleta!$I$1:$I$504,R128))</f>
        <v/>
      </c>
      <c r="AB128" s="50">
        <f>IF(S128=0,"",INDEX(Escaleta!$I$1:$I$504,S128))</f>
        <v/>
      </c>
    </row>
    <row r="129" ht="18" customHeight="1">
      <c r="A129" s="48">
        <f>IF(A128="","",IF(A128+Configuración!$C$7/1440&gt;Configuración!$C$6-0.0001,"",A128+Configuración!$C$7/1440))</f>
        <v/>
      </c>
      <c r="B129" s="49">
        <f>IF(L129=0,"",IF(L129&lt;&gt;L128,INDEX(Escaleta!$F$1:$F$504,L129),IF(L129&lt;&gt;L127,TEXT(INDEX(Escaleta!$C$1:$C$504,L129),"hh:mm")&amp;"–"&amp;TEXT(INDEX(Escaleta!$E$1:$E$504,L129),"hh:mm"),"")))</f>
        <v/>
      </c>
      <c r="C129" s="49">
        <f>IF(M129=0,"",IF(M129&lt;&gt;M128,INDEX(Escaleta!$F$1:$F$504,M129),IF(M129&lt;&gt;M127,TEXT(INDEX(Escaleta!$C$1:$C$504,M129),"hh:mm")&amp;"–"&amp;TEXT(INDEX(Escaleta!$E$1:$E$504,M129),"hh:mm"),"")))</f>
        <v/>
      </c>
      <c r="D129" s="49">
        <f>IF(N129=0,"",IF(N129&lt;&gt;N128,INDEX(Escaleta!$F$1:$F$504,N129),IF(N129&lt;&gt;N127,TEXT(INDEX(Escaleta!$C$1:$C$504,N129),"hh:mm")&amp;"–"&amp;TEXT(INDEX(Escaleta!$E$1:$E$504,N129),"hh:mm"),"")))</f>
        <v/>
      </c>
      <c r="E129" s="49">
        <f>IF(O129=0,"",IF(O129&lt;&gt;O128,INDEX(Escaleta!$F$1:$F$504,O129),IF(O129&lt;&gt;O127,TEXT(INDEX(Escaleta!$C$1:$C$504,O129),"hh:mm")&amp;"–"&amp;TEXT(INDEX(Escaleta!$E$1:$E$504,O129),"hh:mm"),"")))</f>
        <v/>
      </c>
      <c r="F129" s="49">
        <f>IF(P129=0,"",IF(P129&lt;&gt;P128,INDEX(Escaleta!$F$1:$F$504,P129),IF(P129&lt;&gt;P127,TEXT(INDEX(Escaleta!$C$1:$C$504,P129),"hh:mm")&amp;"–"&amp;TEXT(INDEX(Escaleta!$E$1:$E$504,P129),"hh:mm"),"")))</f>
        <v/>
      </c>
      <c r="G129" s="49">
        <f>IF(Q129=0,"",IF(Q129&lt;&gt;Q128,INDEX(Escaleta!$F$1:$F$504,Q129),IF(Q129&lt;&gt;Q127,TEXT(INDEX(Escaleta!$C$1:$C$504,Q129),"hh:mm")&amp;"–"&amp;TEXT(INDEX(Escaleta!$E$1:$E$504,Q129),"hh:mm"),"")))</f>
        <v/>
      </c>
      <c r="H129" s="49">
        <f>IF(R129=0,"",IF(R129&lt;&gt;R128,INDEX(Escaleta!$F$1:$F$504,R129),IF(R129&lt;&gt;R127,TEXT(INDEX(Escaleta!$C$1:$C$504,R129),"hh:mm")&amp;"–"&amp;TEXT(INDEX(Escaleta!$E$1:$E$504,R129),"hh:mm"),"")))</f>
        <v/>
      </c>
      <c r="I129" s="49">
        <f>IF(S129=0,"",IF(S129&lt;&gt;S128,INDEX(Escaleta!$F$1:$F$504,S129),IF(S129&lt;&gt;S127,TEXT(INDEX(Escaleta!$C$1:$C$504,S129),"hh:mm")&amp;"–"&amp;TEXT(INDEX(Escaleta!$E$1:$E$504,S129),"hh:mm"),"")))</f>
        <v/>
      </c>
      <c r="L129" s="50">
        <f>IF(OR($A129="",B$6=""),0,SUMPRODUCT(MAX((Escaleta!$A$5:$A$504=$B$4)*(Escaleta!$H$5:$H$504=B$6)*(Escaleta!$K$5:$K$504&lt;&gt;"Cancelada")*(Escaleta!$C$5:$C$504&lt;$A129+Configuración!$C$7/1440)*(Escaleta!$E$5:$E$504&gt;$A129)*ROW(Escaleta!$A$5:$A$504))))</f>
        <v/>
      </c>
      <c r="M129" s="50">
        <f>IF(OR($A129="",C$6=""),0,SUMPRODUCT(MAX((Escaleta!$A$5:$A$504=$B$4)*(Escaleta!$H$5:$H$504=C$6)*(Escaleta!$K$5:$K$504&lt;&gt;"Cancelada")*(Escaleta!$C$5:$C$504&lt;$A129+Configuración!$C$7/1440)*(Escaleta!$E$5:$E$504&gt;$A129)*ROW(Escaleta!$A$5:$A$504))))</f>
        <v/>
      </c>
      <c r="N129" s="50">
        <f>IF(OR($A129="",D$6=""),0,SUMPRODUCT(MAX((Escaleta!$A$5:$A$504=$B$4)*(Escaleta!$H$5:$H$504=D$6)*(Escaleta!$K$5:$K$504&lt;&gt;"Cancelada")*(Escaleta!$C$5:$C$504&lt;$A129+Configuración!$C$7/1440)*(Escaleta!$E$5:$E$504&gt;$A129)*ROW(Escaleta!$A$5:$A$504))))</f>
        <v/>
      </c>
      <c r="O129" s="50">
        <f>IF(OR($A129="",E$6=""),0,SUMPRODUCT(MAX((Escaleta!$A$5:$A$504=$B$4)*(Escaleta!$H$5:$H$504=E$6)*(Escaleta!$K$5:$K$504&lt;&gt;"Cancelada")*(Escaleta!$C$5:$C$504&lt;$A129+Configuración!$C$7/1440)*(Escaleta!$E$5:$E$504&gt;$A129)*ROW(Escaleta!$A$5:$A$504))))</f>
        <v/>
      </c>
      <c r="P129" s="50">
        <f>IF(OR($A129="",F$6=""),0,SUMPRODUCT(MAX((Escaleta!$A$5:$A$504=$B$4)*(Escaleta!$H$5:$H$504=F$6)*(Escaleta!$K$5:$K$504&lt;&gt;"Cancelada")*(Escaleta!$C$5:$C$504&lt;$A129+Configuración!$C$7/1440)*(Escaleta!$E$5:$E$504&gt;$A129)*ROW(Escaleta!$A$5:$A$504))))</f>
        <v/>
      </c>
      <c r="Q129" s="50">
        <f>IF(OR($A129="",G$6=""),0,SUMPRODUCT(MAX((Escaleta!$A$5:$A$504=$B$4)*(Escaleta!$H$5:$H$504=G$6)*(Escaleta!$K$5:$K$504&lt;&gt;"Cancelada")*(Escaleta!$C$5:$C$504&lt;$A129+Configuración!$C$7/1440)*(Escaleta!$E$5:$E$504&gt;$A129)*ROW(Escaleta!$A$5:$A$504))))</f>
        <v/>
      </c>
      <c r="R129" s="50">
        <f>IF(OR($A129="",H$6=""),0,SUMPRODUCT(MAX((Escaleta!$A$5:$A$504=$B$4)*(Escaleta!$H$5:$H$504=H$6)*(Escaleta!$K$5:$K$504&lt;&gt;"Cancelada")*(Escaleta!$C$5:$C$504&lt;$A129+Configuración!$C$7/1440)*(Escaleta!$E$5:$E$504&gt;$A129)*ROW(Escaleta!$A$5:$A$504))))</f>
        <v/>
      </c>
      <c r="S129" s="50">
        <f>IF(OR($A129="",I$6=""),0,SUMPRODUCT(MAX((Escaleta!$A$5:$A$504=$B$4)*(Escaleta!$H$5:$H$504=I$6)*(Escaleta!$K$5:$K$504&lt;&gt;"Cancelada")*(Escaleta!$C$5:$C$504&lt;$A129+Configuración!$C$7/1440)*(Escaleta!$E$5:$E$504&gt;$A129)*ROW(Escaleta!$A$5:$A$504))))</f>
        <v/>
      </c>
      <c r="U129" s="50">
        <f>IF(L129=0,"",INDEX(Escaleta!$I$1:$I$504,L129))</f>
        <v/>
      </c>
      <c r="V129" s="50">
        <f>IF(M129=0,"",INDEX(Escaleta!$I$1:$I$504,M129))</f>
        <v/>
      </c>
      <c r="W129" s="50">
        <f>IF(N129=0,"",INDEX(Escaleta!$I$1:$I$504,N129))</f>
        <v/>
      </c>
      <c r="X129" s="50">
        <f>IF(O129=0,"",INDEX(Escaleta!$I$1:$I$504,O129))</f>
        <v/>
      </c>
      <c r="Y129" s="50">
        <f>IF(P129=0,"",INDEX(Escaleta!$I$1:$I$504,P129))</f>
        <v/>
      </c>
      <c r="Z129" s="50">
        <f>IF(Q129=0,"",INDEX(Escaleta!$I$1:$I$504,Q129))</f>
        <v/>
      </c>
      <c r="AA129" s="50">
        <f>IF(R129=0,"",INDEX(Escaleta!$I$1:$I$504,R129))</f>
        <v/>
      </c>
      <c r="AB129" s="50">
        <f>IF(S129=0,"",INDEX(Escaleta!$I$1:$I$504,S129))</f>
        <v/>
      </c>
    </row>
    <row r="130" ht="18" customHeight="1">
      <c r="A130" s="48">
        <f>IF(A129="","",IF(A129+Configuración!$C$7/1440&gt;Configuración!$C$6-0.0001,"",A129+Configuración!$C$7/1440))</f>
        <v/>
      </c>
      <c r="B130" s="49">
        <f>IF(L130=0,"",IF(L130&lt;&gt;L129,INDEX(Escaleta!$F$1:$F$504,L130),IF(L130&lt;&gt;L128,TEXT(INDEX(Escaleta!$C$1:$C$504,L130),"hh:mm")&amp;"–"&amp;TEXT(INDEX(Escaleta!$E$1:$E$504,L130),"hh:mm"),"")))</f>
        <v/>
      </c>
      <c r="C130" s="49">
        <f>IF(M130=0,"",IF(M130&lt;&gt;M129,INDEX(Escaleta!$F$1:$F$504,M130),IF(M130&lt;&gt;M128,TEXT(INDEX(Escaleta!$C$1:$C$504,M130),"hh:mm")&amp;"–"&amp;TEXT(INDEX(Escaleta!$E$1:$E$504,M130),"hh:mm"),"")))</f>
        <v/>
      </c>
      <c r="D130" s="49">
        <f>IF(N130=0,"",IF(N130&lt;&gt;N129,INDEX(Escaleta!$F$1:$F$504,N130),IF(N130&lt;&gt;N128,TEXT(INDEX(Escaleta!$C$1:$C$504,N130),"hh:mm")&amp;"–"&amp;TEXT(INDEX(Escaleta!$E$1:$E$504,N130),"hh:mm"),"")))</f>
        <v/>
      </c>
      <c r="E130" s="49">
        <f>IF(O130=0,"",IF(O130&lt;&gt;O129,INDEX(Escaleta!$F$1:$F$504,O130),IF(O130&lt;&gt;O128,TEXT(INDEX(Escaleta!$C$1:$C$504,O130),"hh:mm")&amp;"–"&amp;TEXT(INDEX(Escaleta!$E$1:$E$504,O130),"hh:mm"),"")))</f>
        <v/>
      </c>
      <c r="F130" s="49">
        <f>IF(P130=0,"",IF(P130&lt;&gt;P129,INDEX(Escaleta!$F$1:$F$504,P130),IF(P130&lt;&gt;P128,TEXT(INDEX(Escaleta!$C$1:$C$504,P130),"hh:mm")&amp;"–"&amp;TEXT(INDEX(Escaleta!$E$1:$E$504,P130),"hh:mm"),"")))</f>
        <v/>
      </c>
      <c r="G130" s="49">
        <f>IF(Q130=0,"",IF(Q130&lt;&gt;Q129,INDEX(Escaleta!$F$1:$F$504,Q130),IF(Q130&lt;&gt;Q128,TEXT(INDEX(Escaleta!$C$1:$C$504,Q130),"hh:mm")&amp;"–"&amp;TEXT(INDEX(Escaleta!$E$1:$E$504,Q130),"hh:mm"),"")))</f>
        <v/>
      </c>
      <c r="H130" s="49">
        <f>IF(R130=0,"",IF(R130&lt;&gt;R129,INDEX(Escaleta!$F$1:$F$504,R130),IF(R130&lt;&gt;R128,TEXT(INDEX(Escaleta!$C$1:$C$504,R130),"hh:mm")&amp;"–"&amp;TEXT(INDEX(Escaleta!$E$1:$E$504,R130),"hh:mm"),"")))</f>
        <v/>
      </c>
      <c r="I130" s="49">
        <f>IF(S130=0,"",IF(S130&lt;&gt;S129,INDEX(Escaleta!$F$1:$F$504,S130),IF(S130&lt;&gt;S128,TEXT(INDEX(Escaleta!$C$1:$C$504,S130),"hh:mm")&amp;"–"&amp;TEXT(INDEX(Escaleta!$E$1:$E$504,S130),"hh:mm"),"")))</f>
        <v/>
      </c>
      <c r="L130" s="50">
        <f>IF(OR($A130="",B$6=""),0,SUMPRODUCT(MAX((Escaleta!$A$5:$A$504=$B$4)*(Escaleta!$H$5:$H$504=B$6)*(Escaleta!$K$5:$K$504&lt;&gt;"Cancelada")*(Escaleta!$C$5:$C$504&lt;$A130+Configuración!$C$7/1440)*(Escaleta!$E$5:$E$504&gt;$A130)*ROW(Escaleta!$A$5:$A$504))))</f>
        <v/>
      </c>
      <c r="M130" s="50">
        <f>IF(OR($A130="",C$6=""),0,SUMPRODUCT(MAX((Escaleta!$A$5:$A$504=$B$4)*(Escaleta!$H$5:$H$504=C$6)*(Escaleta!$K$5:$K$504&lt;&gt;"Cancelada")*(Escaleta!$C$5:$C$504&lt;$A130+Configuración!$C$7/1440)*(Escaleta!$E$5:$E$504&gt;$A130)*ROW(Escaleta!$A$5:$A$504))))</f>
        <v/>
      </c>
      <c r="N130" s="50">
        <f>IF(OR($A130="",D$6=""),0,SUMPRODUCT(MAX((Escaleta!$A$5:$A$504=$B$4)*(Escaleta!$H$5:$H$504=D$6)*(Escaleta!$K$5:$K$504&lt;&gt;"Cancelada")*(Escaleta!$C$5:$C$504&lt;$A130+Configuración!$C$7/1440)*(Escaleta!$E$5:$E$504&gt;$A130)*ROW(Escaleta!$A$5:$A$504))))</f>
        <v/>
      </c>
      <c r="O130" s="50">
        <f>IF(OR($A130="",E$6=""),0,SUMPRODUCT(MAX((Escaleta!$A$5:$A$504=$B$4)*(Escaleta!$H$5:$H$504=E$6)*(Escaleta!$K$5:$K$504&lt;&gt;"Cancelada")*(Escaleta!$C$5:$C$504&lt;$A130+Configuración!$C$7/1440)*(Escaleta!$E$5:$E$504&gt;$A130)*ROW(Escaleta!$A$5:$A$504))))</f>
        <v/>
      </c>
      <c r="P130" s="50">
        <f>IF(OR($A130="",F$6=""),0,SUMPRODUCT(MAX((Escaleta!$A$5:$A$504=$B$4)*(Escaleta!$H$5:$H$504=F$6)*(Escaleta!$K$5:$K$504&lt;&gt;"Cancelada")*(Escaleta!$C$5:$C$504&lt;$A130+Configuración!$C$7/1440)*(Escaleta!$E$5:$E$504&gt;$A130)*ROW(Escaleta!$A$5:$A$504))))</f>
        <v/>
      </c>
      <c r="Q130" s="50">
        <f>IF(OR($A130="",G$6=""),0,SUMPRODUCT(MAX((Escaleta!$A$5:$A$504=$B$4)*(Escaleta!$H$5:$H$504=G$6)*(Escaleta!$K$5:$K$504&lt;&gt;"Cancelada")*(Escaleta!$C$5:$C$504&lt;$A130+Configuración!$C$7/1440)*(Escaleta!$E$5:$E$504&gt;$A130)*ROW(Escaleta!$A$5:$A$504))))</f>
        <v/>
      </c>
      <c r="R130" s="50">
        <f>IF(OR($A130="",H$6=""),0,SUMPRODUCT(MAX((Escaleta!$A$5:$A$504=$B$4)*(Escaleta!$H$5:$H$504=H$6)*(Escaleta!$K$5:$K$504&lt;&gt;"Cancelada")*(Escaleta!$C$5:$C$504&lt;$A130+Configuración!$C$7/1440)*(Escaleta!$E$5:$E$504&gt;$A130)*ROW(Escaleta!$A$5:$A$504))))</f>
        <v/>
      </c>
      <c r="S130" s="50">
        <f>IF(OR($A130="",I$6=""),0,SUMPRODUCT(MAX((Escaleta!$A$5:$A$504=$B$4)*(Escaleta!$H$5:$H$504=I$6)*(Escaleta!$K$5:$K$504&lt;&gt;"Cancelada")*(Escaleta!$C$5:$C$504&lt;$A130+Configuración!$C$7/1440)*(Escaleta!$E$5:$E$504&gt;$A130)*ROW(Escaleta!$A$5:$A$504))))</f>
        <v/>
      </c>
      <c r="U130" s="50">
        <f>IF(L130=0,"",INDEX(Escaleta!$I$1:$I$504,L130))</f>
        <v/>
      </c>
      <c r="V130" s="50">
        <f>IF(M130=0,"",INDEX(Escaleta!$I$1:$I$504,M130))</f>
        <v/>
      </c>
      <c r="W130" s="50">
        <f>IF(N130=0,"",INDEX(Escaleta!$I$1:$I$504,N130))</f>
        <v/>
      </c>
      <c r="X130" s="50">
        <f>IF(O130=0,"",INDEX(Escaleta!$I$1:$I$504,O130))</f>
        <v/>
      </c>
      <c r="Y130" s="50">
        <f>IF(P130=0,"",INDEX(Escaleta!$I$1:$I$504,P130))</f>
        <v/>
      </c>
      <c r="Z130" s="50">
        <f>IF(Q130=0,"",INDEX(Escaleta!$I$1:$I$504,Q130))</f>
        <v/>
      </c>
      <c r="AA130" s="50">
        <f>IF(R130=0,"",INDEX(Escaleta!$I$1:$I$504,R130))</f>
        <v/>
      </c>
      <c r="AB130" s="50">
        <f>IF(S130=0,"",INDEX(Escaleta!$I$1:$I$504,S130))</f>
        <v/>
      </c>
    </row>
    <row r="131" ht="18" customHeight="1">
      <c r="A131" s="48">
        <f>IF(A130="","",IF(A130+Configuración!$C$7/1440&gt;Configuración!$C$6-0.0001,"",A130+Configuración!$C$7/1440))</f>
        <v/>
      </c>
      <c r="B131" s="49">
        <f>IF(L131=0,"",IF(L131&lt;&gt;L130,INDEX(Escaleta!$F$1:$F$504,L131),IF(L131&lt;&gt;L129,TEXT(INDEX(Escaleta!$C$1:$C$504,L131),"hh:mm")&amp;"–"&amp;TEXT(INDEX(Escaleta!$E$1:$E$504,L131),"hh:mm"),"")))</f>
        <v/>
      </c>
      <c r="C131" s="49">
        <f>IF(M131=0,"",IF(M131&lt;&gt;M130,INDEX(Escaleta!$F$1:$F$504,M131),IF(M131&lt;&gt;M129,TEXT(INDEX(Escaleta!$C$1:$C$504,M131),"hh:mm")&amp;"–"&amp;TEXT(INDEX(Escaleta!$E$1:$E$504,M131),"hh:mm"),"")))</f>
        <v/>
      </c>
      <c r="D131" s="49">
        <f>IF(N131=0,"",IF(N131&lt;&gt;N130,INDEX(Escaleta!$F$1:$F$504,N131),IF(N131&lt;&gt;N129,TEXT(INDEX(Escaleta!$C$1:$C$504,N131),"hh:mm")&amp;"–"&amp;TEXT(INDEX(Escaleta!$E$1:$E$504,N131),"hh:mm"),"")))</f>
        <v/>
      </c>
      <c r="E131" s="49">
        <f>IF(O131=0,"",IF(O131&lt;&gt;O130,INDEX(Escaleta!$F$1:$F$504,O131),IF(O131&lt;&gt;O129,TEXT(INDEX(Escaleta!$C$1:$C$504,O131),"hh:mm")&amp;"–"&amp;TEXT(INDEX(Escaleta!$E$1:$E$504,O131),"hh:mm"),"")))</f>
        <v/>
      </c>
      <c r="F131" s="49">
        <f>IF(P131=0,"",IF(P131&lt;&gt;P130,INDEX(Escaleta!$F$1:$F$504,P131),IF(P131&lt;&gt;P129,TEXT(INDEX(Escaleta!$C$1:$C$504,P131),"hh:mm")&amp;"–"&amp;TEXT(INDEX(Escaleta!$E$1:$E$504,P131),"hh:mm"),"")))</f>
        <v/>
      </c>
      <c r="G131" s="49">
        <f>IF(Q131=0,"",IF(Q131&lt;&gt;Q130,INDEX(Escaleta!$F$1:$F$504,Q131),IF(Q131&lt;&gt;Q129,TEXT(INDEX(Escaleta!$C$1:$C$504,Q131),"hh:mm")&amp;"–"&amp;TEXT(INDEX(Escaleta!$E$1:$E$504,Q131),"hh:mm"),"")))</f>
        <v/>
      </c>
      <c r="H131" s="49">
        <f>IF(R131=0,"",IF(R131&lt;&gt;R130,INDEX(Escaleta!$F$1:$F$504,R131),IF(R131&lt;&gt;R129,TEXT(INDEX(Escaleta!$C$1:$C$504,R131),"hh:mm")&amp;"–"&amp;TEXT(INDEX(Escaleta!$E$1:$E$504,R131),"hh:mm"),"")))</f>
        <v/>
      </c>
      <c r="I131" s="49">
        <f>IF(S131=0,"",IF(S131&lt;&gt;S130,INDEX(Escaleta!$F$1:$F$504,S131),IF(S131&lt;&gt;S129,TEXT(INDEX(Escaleta!$C$1:$C$504,S131),"hh:mm")&amp;"–"&amp;TEXT(INDEX(Escaleta!$E$1:$E$504,S131),"hh:mm"),"")))</f>
        <v/>
      </c>
      <c r="L131" s="50">
        <f>IF(OR($A131="",B$6=""),0,SUMPRODUCT(MAX((Escaleta!$A$5:$A$504=$B$4)*(Escaleta!$H$5:$H$504=B$6)*(Escaleta!$K$5:$K$504&lt;&gt;"Cancelada")*(Escaleta!$C$5:$C$504&lt;$A131+Configuración!$C$7/1440)*(Escaleta!$E$5:$E$504&gt;$A131)*ROW(Escaleta!$A$5:$A$504))))</f>
        <v/>
      </c>
      <c r="M131" s="50">
        <f>IF(OR($A131="",C$6=""),0,SUMPRODUCT(MAX((Escaleta!$A$5:$A$504=$B$4)*(Escaleta!$H$5:$H$504=C$6)*(Escaleta!$K$5:$K$504&lt;&gt;"Cancelada")*(Escaleta!$C$5:$C$504&lt;$A131+Configuración!$C$7/1440)*(Escaleta!$E$5:$E$504&gt;$A131)*ROW(Escaleta!$A$5:$A$504))))</f>
        <v/>
      </c>
      <c r="N131" s="50">
        <f>IF(OR($A131="",D$6=""),0,SUMPRODUCT(MAX((Escaleta!$A$5:$A$504=$B$4)*(Escaleta!$H$5:$H$504=D$6)*(Escaleta!$K$5:$K$504&lt;&gt;"Cancelada")*(Escaleta!$C$5:$C$504&lt;$A131+Configuración!$C$7/1440)*(Escaleta!$E$5:$E$504&gt;$A131)*ROW(Escaleta!$A$5:$A$504))))</f>
        <v/>
      </c>
      <c r="O131" s="50">
        <f>IF(OR($A131="",E$6=""),0,SUMPRODUCT(MAX((Escaleta!$A$5:$A$504=$B$4)*(Escaleta!$H$5:$H$504=E$6)*(Escaleta!$K$5:$K$504&lt;&gt;"Cancelada")*(Escaleta!$C$5:$C$504&lt;$A131+Configuración!$C$7/1440)*(Escaleta!$E$5:$E$504&gt;$A131)*ROW(Escaleta!$A$5:$A$504))))</f>
        <v/>
      </c>
      <c r="P131" s="50">
        <f>IF(OR($A131="",F$6=""),0,SUMPRODUCT(MAX((Escaleta!$A$5:$A$504=$B$4)*(Escaleta!$H$5:$H$504=F$6)*(Escaleta!$K$5:$K$504&lt;&gt;"Cancelada")*(Escaleta!$C$5:$C$504&lt;$A131+Configuración!$C$7/1440)*(Escaleta!$E$5:$E$504&gt;$A131)*ROW(Escaleta!$A$5:$A$504))))</f>
        <v/>
      </c>
      <c r="Q131" s="50">
        <f>IF(OR($A131="",G$6=""),0,SUMPRODUCT(MAX((Escaleta!$A$5:$A$504=$B$4)*(Escaleta!$H$5:$H$504=G$6)*(Escaleta!$K$5:$K$504&lt;&gt;"Cancelada")*(Escaleta!$C$5:$C$504&lt;$A131+Configuración!$C$7/1440)*(Escaleta!$E$5:$E$504&gt;$A131)*ROW(Escaleta!$A$5:$A$504))))</f>
        <v/>
      </c>
      <c r="R131" s="50">
        <f>IF(OR($A131="",H$6=""),0,SUMPRODUCT(MAX((Escaleta!$A$5:$A$504=$B$4)*(Escaleta!$H$5:$H$504=H$6)*(Escaleta!$K$5:$K$504&lt;&gt;"Cancelada")*(Escaleta!$C$5:$C$504&lt;$A131+Configuración!$C$7/1440)*(Escaleta!$E$5:$E$504&gt;$A131)*ROW(Escaleta!$A$5:$A$504))))</f>
        <v/>
      </c>
      <c r="S131" s="50">
        <f>IF(OR($A131="",I$6=""),0,SUMPRODUCT(MAX((Escaleta!$A$5:$A$504=$B$4)*(Escaleta!$H$5:$H$504=I$6)*(Escaleta!$K$5:$K$504&lt;&gt;"Cancelada")*(Escaleta!$C$5:$C$504&lt;$A131+Configuración!$C$7/1440)*(Escaleta!$E$5:$E$504&gt;$A131)*ROW(Escaleta!$A$5:$A$504))))</f>
        <v/>
      </c>
      <c r="U131" s="50">
        <f>IF(L131=0,"",INDEX(Escaleta!$I$1:$I$504,L131))</f>
        <v/>
      </c>
      <c r="V131" s="50">
        <f>IF(M131=0,"",INDEX(Escaleta!$I$1:$I$504,M131))</f>
        <v/>
      </c>
      <c r="W131" s="50">
        <f>IF(N131=0,"",INDEX(Escaleta!$I$1:$I$504,N131))</f>
        <v/>
      </c>
      <c r="X131" s="50">
        <f>IF(O131=0,"",INDEX(Escaleta!$I$1:$I$504,O131))</f>
        <v/>
      </c>
      <c r="Y131" s="50">
        <f>IF(P131=0,"",INDEX(Escaleta!$I$1:$I$504,P131))</f>
        <v/>
      </c>
      <c r="Z131" s="50">
        <f>IF(Q131=0,"",INDEX(Escaleta!$I$1:$I$504,Q131))</f>
        <v/>
      </c>
      <c r="AA131" s="50">
        <f>IF(R131=0,"",INDEX(Escaleta!$I$1:$I$504,R131))</f>
        <v/>
      </c>
      <c r="AB131" s="50">
        <f>IF(S131=0,"",INDEX(Escaleta!$I$1:$I$504,S131))</f>
        <v/>
      </c>
    </row>
    <row r="132" ht="18" customHeight="1">
      <c r="A132" s="48">
        <f>IF(A131="","",IF(A131+Configuración!$C$7/1440&gt;Configuración!$C$6-0.0001,"",A131+Configuración!$C$7/1440))</f>
        <v/>
      </c>
      <c r="B132" s="49">
        <f>IF(L132=0,"",IF(L132&lt;&gt;L131,INDEX(Escaleta!$F$1:$F$504,L132),IF(L132&lt;&gt;L130,TEXT(INDEX(Escaleta!$C$1:$C$504,L132),"hh:mm")&amp;"–"&amp;TEXT(INDEX(Escaleta!$E$1:$E$504,L132),"hh:mm"),"")))</f>
        <v/>
      </c>
      <c r="C132" s="49">
        <f>IF(M132=0,"",IF(M132&lt;&gt;M131,INDEX(Escaleta!$F$1:$F$504,M132),IF(M132&lt;&gt;M130,TEXT(INDEX(Escaleta!$C$1:$C$504,M132),"hh:mm")&amp;"–"&amp;TEXT(INDEX(Escaleta!$E$1:$E$504,M132),"hh:mm"),"")))</f>
        <v/>
      </c>
      <c r="D132" s="49">
        <f>IF(N132=0,"",IF(N132&lt;&gt;N131,INDEX(Escaleta!$F$1:$F$504,N132),IF(N132&lt;&gt;N130,TEXT(INDEX(Escaleta!$C$1:$C$504,N132),"hh:mm")&amp;"–"&amp;TEXT(INDEX(Escaleta!$E$1:$E$504,N132),"hh:mm"),"")))</f>
        <v/>
      </c>
      <c r="E132" s="49">
        <f>IF(O132=0,"",IF(O132&lt;&gt;O131,INDEX(Escaleta!$F$1:$F$504,O132),IF(O132&lt;&gt;O130,TEXT(INDEX(Escaleta!$C$1:$C$504,O132),"hh:mm")&amp;"–"&amp;TEXT(INDEX(Escaleta!$E$1:$E$504,O132),"hh:mm"),"")))</f>
        <v/>
      </c>
      <c r="F132" s="49">
        <f>IF(P132=0,"",IF(P132&lt;&gt;P131,INDEX(Escaleta!$F$1:$F$504,P132),IF(P132&lt;&gt;P130,TEXT(INDEX(Escaleta!$C$1:$C$504,P132),"hh:mm")&amp;"–"&amp;TEXT(INDEX(Escaleta!$E$1:$E$504,P132),"hh:mm"),"")))</f>
        <v/>
      </c>
      <c r="G132" s="49">
        <f>IF(Q132=0,"",IF(Q132&lt;&gt;Q131,INDEX(Escaleta!$F$1:$F$504,Q132),IF(Q132&lt;&gt;Q130,TEXT(INDEX(Escaleta!$C$1:$C$504,Q132),"hh:mm")&amp;"–"&amp;TEXT(INDEX(Escaleta!$E$1:$E$504,Q132),"hh:mm"),"")))</f>
        <v/>
      </c>
      <c r="H132" s="49">
        <f>IF(R132=0,"",IF(R132&lt;&gt;R131,INDEX(Escaleta!$F$1:$F$504,R132),IF(R132&lt;&gt;R130,TEXT(INDEX(Escaleta!$C$1:$C$504,R132),"hh:mm")&amp;"–"&amp;TEXT(INDEX(Escaleta!$E$1:$E$504,R132),"hh:mm"),"")))</f>
        <v/>
      </c>
      <c r="I132" s="49">
        <f>IF(S132=0,"",IF(S132&lt;&gt;S131,INDEX(Escaleta!$F$1:$F$504,S132),IF(S132&lt;&gt;S130,TEXT(INDEX(Escaleta!$C$1:$C$504,S132),"hh:mm")&amp;"–"&amp;TEXT(INDEX(Escaleta!$E$1:$E$504,S132),"hh:mm"),"")))</f>
        <v/>
      </c>
      <c r="L132" s="50">
        <f>IF(OR($A132="",B$6=""),0,SUMPRODUCT(MAX((Escaleta!$A$5:$A$504=$B$4)*(Escaleta!$H$5:$H$504=B$6)*(Escaleta!$K$5:$K$504&lt;&gt;"Cancelada")*(Escaleta!$C$5:$C$504&lt;$A132+Configuración!$C$7/1440)*(Escaleta!$E$5:$E$504&gt;$A132)*ROW(Escaleta!$A$5:$A$504))))</f>
        <v/>
      </c>
      <c r="M132" s="50">
        <f>IF(OR($A132="",C$6=""),0,SUMPRODUCT(MAX((Escaleta!$A$5:$A$504=$B$4)*(Escaleta!$H$5:$H$504=C$6)*(Escaleta!$K$5:$K$504&lt;&gt;"Cancelada")*(Escaleta!$C$5:$C$504&lt;$A132+Configuración!$C$7/1440)*(Escaleta!$E$5:$E$504&gt;$A132)*ROW(Escaleta!$A$5:$A$504))))</f>
        <v/>
      </c>
      <c r="N132" s="50">
        <f>IF(OR($A132="",D$6=""),0,SUMPRODUCT(MAX((Escaleta!$A$5:$A$504=$B$4)*(Escaleta!$H$5:$H$504=D$6)*(Escaleta!$K$5:$K$504&lt;&gt;"Cancelada")*(Escaleta!$C$5:$C$504&lt;$A132+Configuración!$C$7/1440)*(Escaleta!$E$5:$E$504&gt;$A132)*ROW(Escaleta!$A$5:$A$504))))</f>
        <v/>
      </c>
      <c r="O132" s="50">
        <f>IF(OR($A132="",E$6=""),0,SUMPRODUCT(MAX((Escaleta!$A$5:$A$504=$B$4)*(Escaleta!$H$5:$H$504=E$6)*(Escaleta!$K$5:$K$504&lt;&gt;"Cancelada")*(Escaleta!$C$5:$C$504&lt;$A132+Configuración!$C$7/1440)*(Escaleta!$E$5:$E$504&gt;$A132)*ROW(Escaleta!$A$5:$A$504))))</f>
        <v/>
      </c>
      <c r="P132" s="50">
        <f>IF(OR($A132="",F$6=""),0,SUMPRODUCT(MAX((Escaleta!$A$5:$A$504=$B$4)*(Escaleta!$H$5:$H$504=F$6)*(Escaleta!$K$5:$K$504&lt;&gt;"Cancelada")*(Escaleta!$C$5:$C$504&lt;$A132+Configuración!$C$7/1440)*(Escaleta!$E$5:$E$504&gt;$A132)*ROW(Escaleta!$A$5:$A$504))))</f>
        <v/>
      </c>
      <c r="Q132" s="50">
        <f>IF(OR($A132="",G$6=""),0,SUMPRODUCT(MAX((Escaleta!$A$5:$A$504=$B$4)*(Escaleta!$H$5:$H$504=G$6)*(Escaleta!$K$5:$K$504&lt;&gt;"Cancelada")*(Escaleta!$C$5:$C$504&lt;$A132+Configuración!$C$7/1440)*(Escaleta!$E$5:$E$504&gt;$A132)*ROW(Escaleta!$A$5:$A$504))))</f>
        <v/>
      </c>
      <c r="R132" s="50">
        <f>IF(OR($A132="",H$6=""),0,SUMPRODUCT(MAX((Escaleta!$A$5:$A$504=$B$4)*(Escaleta!$H$5:$H$504=H$6)*(Escaleta!$K$5:$K$504&lt;&gt;"Cancelada")*(Escaleta!$C$5:$C$504&lt;$A132+Configuración!$C$7/1440)*(Escaleta!$E$5:$E$504&gt;$A132)*ROW(Escaleta!$A$5:$A$504))))</f>
        <v/>
      </c>
      <c r="S132" s="50">
        <f>IF(OR($A132="",I$6=""),0,SUMPRODUCT(MAX((Escaleta!$A$5:$A$504=$B$4)*(Escaleta!$H$5:$H$504=I$6)*(Escaleta!$K$5:$K$504&lt;&gt;"Cancelada")*(Escaleta!$C$5:$C$504&lt;$A132+Configuración!$C$7/1440)*(Escaleta!$E$5:$E$504&gt;$A132)*ROW(Escaleta!$A$5:$A$504))))</f>
        <v/>
      </c>
      <c r="U132" s="50">
        <f>IF(L132=0,"",INDEX(Escaleta!$I$1:$I$504,L132))</f>
        <v/>
      </c>
      <c r="V132" s="50">
        <f>IF(M132=0,"",INDEX(Escaleta!$I$1:$I$504,M132))</f>
        <v/>
      </c>
      <c r="W132" s="50">
        <f>IF(N132=0,"",INDEX(Escaleta!$I$1:$I$504,N132))</f>
        <v/>
      </c>
      <c r="X132" s="50">
        <f>IF(O132=0,"",INDEX(Escaleta!$I$1:$I$504,O132))</f>
        <v/>
      </c>
      <c r="Y132" s="50">
        <f>IF(P132=0,"",INDEX(Escaleta!$I$1:$I$504,P132))</f>
        <v/>
      </c>
      <c r="Z132" s="50">
        <f>IF(Q132=0,"",INDEX(Escaleta!$I$1:$I$504,Q132))</f>
        <v/>
      </c>
      <c r="AA132" s="50">
        <f>IF(R132=0,"",INDEX(Escaleta!$I$1:$I$504,R132))</f>
        <v/>
      </c>
      <c r="AB132" s="50">
        <f>IF(S132=0,"",INDEX(Escaleta!$I$1:$I$504,S132))</f>
        <v/>
      </c>
    </row>
    <row r="133" ht="18" customHeight="1">
      <c r="A133" s="48">
        <f>IF(A132="","",IF(A132+Configuración!$C$7/1440&gt;Configuración!$C$6-0.0001,"",A132+Configuración!$C$7/1440))</f>
        <v/>
      </c>
      <c r="B133" s="49">
        <f>IF(L133=0,"",IF(L133&lt;&gt;L132,INDEX(Escaleta!$F$1:$F$504,L133),IF(L133&lt;&gt;L131,TEXT(INDEX(Escaleta!$C$1:$C$504,L133),"hh:mm")&amp;"–"&amp;TEXT(INDEX(Escaleta!$E$1:$E$504,L133),"hh:mm"),"")))</f>
        <v/>
      </c>
      <c r="C133" s="49">
        <f>IF(M133=0,"",IF(M133&lt;&gt;M132,INDEX(Escaleta!$F$1:$F$504,M133),IF(M133&lt;&gt;M131,TEXT(INDEX(Escaleta!$C$1:$C$504,M133),"hh:mm")&amp;"–"&amp;TEXT(INDEX(Escaleta!$E$1:$E$504,M133),"hh:mm"),"")))</f>
        <v/>
      </c>
      <c r="D133" s="49">
        <f>IF(N133=0,"",IF(N133&lt;&gt;N132,INDEX(Escaleta!$F$1:$F$504,N133),IF(N133&lt;&gt;N131,TEXT(INDEX(Escaleta!$C$1:$C$504,N133),"hh:mm")&amp;"–"&amp;TEXT(INDEX(Escaleta!$E$1:$E$504,N133),"hh:mm"),"")))</f>
        <v/>
      </c>
      <c r="E133" s="49">
        <f>IF(O133=0,"",IF(O133&lt;&gt;O132,INDEX(Escaleta!$F$1:$F$504,O133),IF(O133&lt;&gt;O131,TEXT(INDEX(Escaleta!$C$1:$C$504,O133),"hh:mm")&amp;"–"&amp;TEXT(INDEX(Escaleta!$E$1:$E$504,O133),"hh:mm"),"")))</f>
        <v/>
      </c>
      <c r="F133" s="49">
        <f>IF(P133=0,"",IF(P133&lt;&gt;P132,INDEX(Escaleta!$F$1:$F$504,P133),IF(P133&lt;&gt;P131,TEXT(INDEX(Escaleta!$C$1:$C$504,P133),"hh:mm")&amp;"–"&amp;TEXT(INDEX(Escaleta!$E$1:$E$504,P133),"hh:mm"),"")))</f>
        <v/>
      </c>
      <c r="G133" s="49">
        <f>IF(Q133=0,"",IF(Q133&lt;&gt;Q132,INDEX(Escaleta!$F$1:$F$504,Q133),IF(Q133&lt;&gt;Q131,TEXT(INDEX(Escaleta!$C$1:$C$504,Q133),"hh:mm")&amp;"–"&amp;TEXT(INDEX(Escaleta!$E$1:$E$504,Q133),"hh:mm"),"")))</f>
        <v/>
      </c>
      <c r="H133" s="49">
        <f>IF(R133=0,"",IF(R133&lt;&gt;R132,INDEX(Escaleta!$F$1:$F$504,R133),IF(R133&lt;&gt;R131,TEXT(INDEX(Escaleta!$C$1:$C$504,R133),"hh:mm")&amp;"–"&amp;TEXT(INDEX(Escaleta!$E$1:$E$504,R133),"hh:mm"),"")))</f>
        <v/>
      </c>
      <c r="I133" s="49">
        <f>IF(S133=0,"",IF(S133&lt;&gt;S132,INDEX(Escaleta!$F$1:$F$504,S133),IF(S133&lt;&gt;S131,TEXT(INDEX(Escaleta!$C$1:$C$504,S133),"hh:mm")&amp;"–"&amp;TEXT(INDEX(Escaleta!$E$1:$E$504,S133),"hh:mm"),"")))</f>
        <v/>
      </c>
      <c r="L133" s="50">
        <f>IF(OR($A133="",B$6=""),0,SUMPRODUCT(MAX((Escaleta!$A$5:$A$504=$B$4)*(Escaleta!$H$5:$H$504=B$6)*(Escaleta!$K$5:$K$504&lt;&gt;"Cancelada")*(Escaleta!$C$5:$C$504&lt;$A133+Configuración!$C$7/1440)*(Escaleta!$E$5:$E$504&gt;$A133)*ROW(Escaleta!$A$5:$A$504))))</f>
        <v/>
      </c>
      <c r="M133" s="50">
        <f>IF(OR($A133="",C$6=""),0,SUMPRODUCT(MAX((Escaleta!$A$5:$A$504=$B$4)*(Escaleta!$H$5:$H$504=C$6)*(Escaleta!$K$5:$K$504&lt;&gt;"Cancelada")*(Escaleta!$C$5:$C$504&lt;$A133+Configuración!$C$7/1440)*(Escaleta!$E$5:$E$504&gt;$A133)*ROW(Escaleta!$A$5:$A$504))))</f>
        <v/>
      </c>
      <c r="N133" s="50">
        <f>IF(OR($A133="",D$6=""),0,SUMPRODUCT(MAX((Escaleta!$A$5:$A$504=$B$4)*(Escaleta!$H$5:$H$504=D$6)*(Escaleta!$K$5:$K$504&lt;&gt;"Cancelada")*(Escaleta!$C$5:$C$504&lt;$A133+Configuración!$C$7/1440)*(Escaleta!$E$5:$E$504&gt;$A133)*ROW(Escaleta!$A$5:$A$504))))</f>
        <v/>
      </c>
      <c r="O133" s="50">
        <f>IF(OR($A133="",E$6=""),0,SUMPRODUCT(MAX((Escaleta!$A$5:$A$504=$B$4)*(Escaleta!$H$5:$H$504=E$6)*(Escaleta!$K$5:$K$504&lt;&gt;"Cancelada")*(Escaleta!$C$5:$C$504&lt;$A133+Configuración!$C$7/1440)*(Escaleta!$E$5:$E$504&gt;$A133)*ROW(Escaleta!$A$5:$A$504))))</f>
        <v/>
      </c>
      <c r="P133" s="50">
        <f>IF(OR($A133="",F$6=""),0,SUMPRODUCT(MAX((Escaleta!$A$5:$A$504=$B$4)*(Escaleta!$H$5:$H$504=F$6)*(Escaleta!$K$5:$K$504&lt;&gt;"Cancelada")*(Escaleta!$C$5:$C$504&lt;$A133+Configuración!$C$7/1440)*(Escaleta!$E$5:$E$504&gt;$A133)*ROW(Escaleta!$A$5:$A$504))))</f>
        <v/>
      </c>
      <c r="Q133" s="50">
        <f>IF(OR($A133="",G$6=""),0,SUMPRODUCT(MAX((Escaleta!$A$5:$A$504=$B$4)*(Escaleta!$H$5:$H$504=G$6)*(Escaleta!$K$5:$K$504&lt;&gt;"Cancelada")*(Escaleta!$C$5:$C$504&lt;$A133+Configuración!$C$7/1440)*(Escaleta!$E$5:$E$504&gt;$A133)*ROW(Escaleta!$A$5:$A$504))))</f>
        <v/>
      </c>
      <c r="R133" s="50">
        <f>IF(OR($A133="",H$6=""),0,SUMPRODUCT(MAX((Escaleta!$A$5:$A$504=$B$4)*(Escaleta!$H$5:$H$504=H$6)*(Escaleta!$K$5:$K$504&lt;&gt;"Cancelada")*(Escaleta!$C$5:$C$504&lt;$A133+Configuración!$C$7/1440)*(Escaleta!$E$5:$E$504&gt;$A133)*ROW(Escaleta!$A$5:$A$504))))</f>
        <v/>
      </c>
      <c r="S133" s="50">
        <f>IF(OR($A133="",I$6=""),0,SUMPRODUCT(MAX((Escaleta!$A$5:$A$504=$B$4)*(Escaleta!$H$5:$H$504=I$6)*(Escaleta!$K$5:$K$504&lt;&gt;"Cancelada")*(Escaleta!$C$5:$C$504&lt;$A133+Configuración!$C$7/1440)*(Escaleta!$E$5:$E$504&gt;$A133)*ROW(Escaleta!$A$5:$A$504))))</f>
        <v/>
      </c>
      <c r="U133" s="50">
        <f>IF(L133=0,"",INDEX(Escaleta!$I$1:$I$504,L133))</f>
        <v/>
      </c>
      <c r="V133" s="50">
        <f>IF(M133=0,"",INDEX(Escaleta!$I$1:$I$504,M133))</f>
        <v/>
      </c>
      <c r="W133" s="50">
        <f>IF(N133=0,"",INDEX(Escaleta!$I$1:$I$504,N133))</f>
        <v/>
      </c>
      <c r="X133" s="50">
        <f>IF(O133=0,"",INDEX(Escaleta!$I$1:$I$504,O133))</f>
        <v/>
      </c>
      <c r="Y133" s="50">
        <f>IF(P133=0,"",INDEX(Escaleta!$I$1:$I$504,P133))</f>
        <v/>
      </c>
      <c r="Z133" s="50">
        <f>IF(Q133=0,"",INDEX(Escaleta!$I$1:$I$504,Q133))</f>
        <v/>
      </c>
      <c r="AA133" s="50">
        <f>IF(R133=0,"",INDEX(Escaleta!$I$1:$I$504,R133))</f>
        <v/>
      </c>
      <c r="AB133" s="50">
        <f>IF(S133=0,"",INDEX(Escaleta!$I$1:$I$504,S133))</f>
        <v/>
      </c>
    </row>
    <row r="134" ht="18" customHeight="1">
      <c r="A134" s="48">
        <f>IF(A133="","",IF(A133+Configuración!$C$7/1440&gt;Configuración!$C$6-0.0001,"",A133+Configuración!$C$7/1440))</f>
        <v/>
      </c>
      <c r="B134" s="49">
        <f>IF(L134=0,"",IF(L134&lt;&gt;L133,INDEX(Escaleta!$F$1:$F$504,L134),IF(L134&lt;&gt;L132,TEXT(INDEX(Escaleta!$C$1:$C$504,L134),"hh:mm")&amp;"–"&amp;TEXT(INDEX(Escaleta!$E$1:$E$504,L134),"hh:mm"),"")))</f>
        <v/>
      </c>
      <c r="C134" s="49">
        <f>IF(M134=0,"",IF(M134&lt;&gt;M133,INDEX(Escaleta!$F$1:$F$504,M134),IF(M134&lt;&gt;M132,TEXT(INDEX(Escaleta!$C$1:$C$504,M134),"hh:mm")&amp;"–"&amp;TEXT(INDEX(Escaleta!$E$1:$E$504,M134),"hh:mm"),"")))</f>
        <v/>
      </c>
      <c r="D134" s="49">
        <f>IF(N134=0,"",IF(N134&lt;&gt;N133,INDEX(Escaleta!$F$1:$F$504,N134),IF(N134&lt;&gt;N132,TEXT(INDEX(Escaleta!$C$1:$C$504,N134),"hh:mm")&amp;"–"&amp;TEXT(INDEX(Escaleta!$E$1:$E$504,N134),"hh:mm"),"")))</f>
        <v/>
      </c>
      <c r="E134" s="49">
        <f>IF(O134=0,"",IF(O134&lt;&gt;O133,INDEX(Escaleta!$F$1:$F$504,O134),IF(O134&lt;&gt;O132,TEXT(INDEX(Escaleta!$C$1:$C$504,O134),"hh:mm")&amp;"–"&amp;TEXT(INDEX(Escaleta!$E$1:$E$504,O134),"hh:mm"),"")))</f>
        <v/>
      </c>
      <c r="F134" s="49">
        <f>IF(P134=0,"",IF(P134&lt;&gt;P133,INDEX(Escaleta!$F$1:$F$504,P134),IF(P134&lt;&gt;P132,TEXT(INDEX(Escaleta!$C$1:$C$504,P134),"hh:mm")&amp;"–"&amp;TEXT(INDEX(Escaleta!$E$1:$E$504,P134),"hh:mm"),"")))</f>
        <v/>
      </c>
      <c r="G134" s="49">
        <f>IF(Q134=0,"",IF(Q134&lt;&gt;Q133,INDEX(Escaleta!$F$1:$F$504,Q134),IF(Q134&lt;&gt;Q132,TEXT(INDEX(Escaleta!$C$1:$C$504,Q134),"hh:mm")&amp;"–"&amp;TEXT(INDEX(Escaleta!$E$1:$E$504,Q134),"hh:mm"),"")))</f>
        <v/>
      </c>
      <c r="H134" s="49">
        <f>IF(R134=0,"",IF(R134&lt;&gt;R133,INDEX(Escaleta!$F$1:$F$504,R134),IF(R134&lt;&gt;R132,TEXT(INDEX(Escaleta!$C$1:$C$504,R134),"hh:mm")&amp;"–"&amp;TEXT(INDEX(Escaleta!$E$1:$E$504,R134),"hh:mm"),"")))</f>
        <v/>
      </c>
      <c r="I134" s="49">
        <f>IF(S134=0,"",IF(S134&lt;&gt;S133,INDEX(Escaleta!$F$1:$F$504,S134),IF(S134&lt;&gt;S132,TEXT(INDEX(Escaleta!$C$1:$C$504,S134),"hh:mm")&amp;"–"&amp;TEXT(INDEX(Escaleta!$E$1:$E$504,S134),"hh:mm"),"")))</f>
        <v/>
      </c>
      <c r="L134" s="50">
        <f>IF(OR($A134="",B$6=""),0,SUMPRODUCT(MAX((Escaleta!$A$5:$A$504=$B$4)*(Escaleta!$H$5:$H$504=B$6)*(Escaleta!$K$5:$K$504&lt;&gt;"Cancelada")*(Escaleta!$C$5:$C$504&lt;$A134+Configuración!$C$7/1440)*(Escaleta!$E$5:$E$504&gt;$A134)*ROW(Escaleta!$A$5:$A$504))))</f>
        <v/>
      </c>
      <c r="M134" s="50">
        <f>IF(OR($A134="",C$6=""),0,SUMPRODUCT(MAX((Escaleta!$A$5:$A$504=$B$4)*(Escaleta!$H$5:$H$504=C$6)*(Escaleta!$K$5:$K$504&lt;&gt;"Cancelada")*(Escaleta!$C$5:$C$504&lt;$A134+Configuración!$C$7/1440)*(Escaleta!$E$5:$E$504&gt;$A134)*ROW(Escaleta!$A$5:$A$504))))</f>
        <v/>
      </c>
      <c r="N134" s="50">
        <f>IF(OR($A134="",D$6=""),0,SUMPRODUCT(MAX((Escaleta!$A$5:$A$504=$B$4)*(Escaleta!$H$5:$H$504=D$6)*(Escaleta!$K$5:$K$504&lt;&gt;"Cancelada")*(Escaleta!$C$5:$C$504&lt;$A134+Configuración!$C$7/1440)*(Escaleta!$E$5:$E$504&gt;$A134)*ROW(Escaleta!$A$5:$A$504))))</f>
        <v/>
      </c>
      <c r="O134" s="50">
        <f>IF(OR($A134="",E$6=""),0,SUMPRODUCT(MAX((Escaleta!$A$5:$A$504=$B$4)*(Escaleta!$H$5:$H$504=E$6)*(Escaleta!$K$5:$K$504&lt;&gt;"Cancelada")*(Escaleta!$C$5:$C$504&lt;$A134+Configuración!$C$7/1440)*(Escaleta!$E$5:$E$504&gt;$A134)*ROW(Escaleta!$A$5:$A$504))))</f>
        <v/>
      </c>
      <c r="P134" s="50">
        <f>IF(OR($A134="",F$6=""),0,SUMPRODUCT(MAX((Escaleta!$A$5:$A$504=$B$4)*(Escaleta!$H$5:$H$504=F$6)*(Escaleta!$K$5:$K$504&lt;&gt;"Cancelada")*(Escaleta!$C$5:$C$504&lt;$A134+Configuración!$C$7/1440)*(Escaleta!$E$5:$E$504&gt;$A134)*ROW(Escaleta!$A$5:$A$504))))</f>
        <v/>
      </c>
      <c r="Q134" s="50">
        <f>IF(OR($A134="",G$6=""),0,SUMPRODUCT(MAX((Escaleta!$A$5:$A$504=$B$4)*(Escaleta!$H$5:$H$504=G$6)*(Escaleta!$K$5:$K$504&lt;&gt;"Cancelada")*(Escaleta!$C$5:$C$504&lt;$A134+Configuración!$C$7/1440)*(Escaleta!$E$5:$E$504&gt;$A134)*ROW(Escaleta!$A$5:$A$504))))</f>
        <v/>
      </c>
      <c r="R134" s="50">
        <f>IF(OR($A134="",H$6=""),0,SUMPRODUCT(MAX((Escaleta!$A$5:$A$504=$B$4)*(Escaleta!$H$5:$H$504=H$6)*(Escaleta!$K$5:$K$504&lt;&gt;"Cancelada")*(Escaleta!$C$5:$C$504&lt;$A134+Configuración!$C$7/1440)*(Escaleta!$E$5:$E$504&gt;$A134)*ROW(Escaleta!$A$5:$A$504))))</f>
        <v/>
      </c>
      <c r="S134" s="50">
        <f>IF(OR($A134="",I$6=""),0,SUMPRODUCT(MAX((Escaleta!$A$5:$A$504=$B$4)*(Escaleta!$H$5:$H$504=I$6)*(Escaleta!$K$5:$K$504&lt;&gt;"Cancelada")*(Escaleta!$C$5:$C$504&lt;$A134+Configuración!$C$7/1440)*(Escaleta!$E$5:$E$504&gt;$A134)*ROW(Escaleta!$A$5:$A$504))))</f>
        <v/>
      </c>
      <c r="U134" s="50">
        <f>IF(L134=0,"",INDEX(Escaleta!$I$1:$I$504,L134))</f>
        <v/>
      </c>
      <c r="V134" s="50">
        <f>IF(M134=0,"",INDEX(Escaleta!$I$1:$I$504,M134))</f>
        <v/>
      </c>
      <c r="W134" s="50">
        <f>IF(N134=0,"",INDEX(Escaleta!$I$1:$I$504,N134))</f>
        <v/>
      </c>
      <c r="X134" s="50">
        <f>IF(O134=0,"",INDEX(Escaleta!$I$1:$I$504,O134))</f>
        <v/>
      </c>
      <c r="Y134" s="50">
        <f>IF(P134=0,"",INDEX(Escaleta!$I$1:$I$504,P134))</f>
        <v/>
      </c>
      <c r="Z134" s="50">
        <f>IF(Q134=0,"",INDEX(Escaleta!$I$1:$I$504,Q134))</f>
        <v/>
      </c>
      <c r="AA134" s="50">
        <f>IF(R134=0,"",INDEX(Escaleta!$I$1:$I$504,R134))</f>
        <v/>
      </c>
      <c r="AB134" s="50">
        <f>IF(S134=0,"",INDEX(Escaleta!$I$1:$I$504,S134))</f>
        <v/>
      </c>
    </row>
    <row r="135" ht="18" customHeight="1">
      <c r="A135" s="48">
        <f>IF(A134="","",IF(A134+Configuración!$C$7/1440&gt;Configuración!$C$6-0.0001,"",A134+Configuración!$C$7/1440))</f>
        <v/>
      </c>
      <c r="B135" s="49">
        <f>IF(L135=0,"",IF(L135&lt;&gt;L134,INDEX(Escaleta!$F$1:$F$504,L135),IF(L135&lt;&gt;L133,TEXT(INDEX(Escaleta!$C$1:$C$504,L135),"hh:mm")&amp;"–"&amp;TEXT(INDEX(Escaleta!$E$1:$E$504,L135),"hh:mm"),"")))</f>
        <v/>
      </c>
      <c r="C135" s="49">
        <f>IF(M135=0,"",IF(M135&lt;&gt;M134,INDEX(Escaleta!$F$1:$F$504,M135),IF(M135&lt;&gt;M133,TEXT(INDEX(Escaleta!$C$1:$C$504,M135),"hh:mm")&amp;"–"&amp;TEXT(INDEX(Escaleta!$E$1:$E$504,M135),"hh:mm"),"")))</f>
        <v/>
      </c>
      <c r="D135" s="49">
        <f>IF(N135=0,"",IF(N135&lt;&gt;N134,INDEX(Escaleta!$F$1:$F$504,N135),IF(N135&lt;&gt;N133,TEXT(INDEX(Escaleta!$C$1:$C$504,N135),"hh:mm")&amp;"–"&amp;TEXT(INDEX(Escaleta!$E$1:$E$504,N135),"hh:mm"),"")))</f>
        <v/>
      </c>
      <c r="E135" s="49">
        <f>IF(O135=0,"",IF(O135&lt;&gt;O134,INDEX(Escaleta!$F$1:$F$504,O135),IF(O135&lt;&gt;O133,TEXT(INDEX(Escaleta!$C$1:$C$504,O135),"hh:mm")&amp;"–"&amp;TEXT(INDEX(Escaleta!$E$1:$E$504,O135),"hh:mm"),"")))</f>
        <v/>
      </c>
      <c r="F135" s="49">
        <f>IF(P135=0,"",IF(P135&lt;&gt;P134,INDEX(Escaleta!$F$1:$F$504,P135),IF(P135&lt;&gt;P133,TEXT(INDEX(Escaleta!$C$1:$C$504,P135),"hh:mm")&amp;"–"&amp;TEXT(INDEX(Escaleta!$E$1:$E$504,P135),"hh:mm"),"")))</f>
        <v/>
      </c>
      <c r="G135" s="49">
        <f>IF(Q135=0,"",IF(Q135&lt;&gt;Q134,INDEX(Escaleta!$F$1:$F$504,Q135),IF(Q135&lt;&gt;Q133,TEXT(INDEX(Escaleta!$C$1:$C$504,Q135),"hh:mm")&amp;"–"&amp;TEXT(INDEX(Escaleta!$E$1:$E$504,Q135),"hh:mm"),"")))</f>
        <v/>
      </c>
      <c r="H135" s="49">
        <f>IF(R135=0,"",IF(R135&lt;&gt;R134,INDEX(Escaleta!$F$1:$F$504,R135),IF(R135&lt;&gt;R133,TEXT(INDEX(Escaleta!$C$1:$C$504,R135),"hh:mm")&amp;"–"&amp;TEXT(INDEX(Escaleta!$E$1:$E$504,R135),"hh:mm"),"")))</f>
        <v/>
      </c>
      <c r="I135" s="49">
        <f>IF(S135=0,"",IF(S135&lt;&gt;S134,INDEX(Escaleta!$F$1:$F$504,S135),IF(S135&lt;&gt;S133,TEXT(INDEX(Escaleta!$C$1:$C$504,S135),"hh:mm")&amp;"–"&amp;TEXT(INDEX(Escaleta!$E$1:$E$504,S135),"hh:mm"),"")))</f>
        <v/>
      </c>
      <c r="L135" s="50">
        <f>IF(OR($A135="",B$6=""),0,SUMPRODUCT(MAX((Escaleta!$A$5:$A$504=$B$4)*(Escaleta!$H$5:$H$504=B$6)*(Escaleta!$K$5:$K$504&lt;&gt;"Cancelada")*(Escaleta!$C$5:$C$504&lt;$A135+Configuración!$C$7/1440)*(Escaleta!$E$5:$E$504&gt;$A135)*ROW(Escaleta!$A$5:$A$504))))</f>
        <v/>
      </c>
      <c r="M135" s="50">
        <f>IF(OR($A135="",C$6=""),0,SUMPRODUCT(MAX((Escaleta!$A$5:$A$504=$B$4)*(Escaleta!$H$5:$H$504=C$6)*(Escaleta!$K$5:$K$504&lt;&gt;"Cancelada")*(Escaleta!$C$5:$C$504&lt;$A135+Configuración!$C$7/1440)*(Escaleta!$E$5:$E$504&gt;$A135)*ROW(Escaleta!$A$5:$A$504))))</f>
        <v/>
      </c>
      <c r="N135" s="50">
        <f>IF(OR($A135="",D$6=""),0,SUMPRODUCT(MAX((Escaleta!$A$5:$A$504=$B$4)*(Escaleta!$H$5:$H$504=D$6)*(Escaleta!$K$5:$K$504&lt;&gt;"Cancelada")*(Escaleta!$C$5:$C$504&lt;$A135+Configuración!$C$7/1440)*(Escaleta!$E$5:$E$504&gt;$A135)*ROW(Escaleta!$A$5:$A$504))))</f>
        <v/>
      </c>
      <c r="O135" s="50">
        <f>IF(OR($A135="",E$6=""),0,SUMPRODUCT(MAX((Escaleta!$A$5:$A$504=$B$4)*(Escaleta!$H$5:$H$504=E$6)*(Escaleta!$K$5:$K$504&lt;&gt;"Cancelada")*(Escaleta!$C$5:$C$504&lt;$A135+Configuración!$C$7/1440)*(Escaleta!$E$5:$E$504&gt;$A135)*ROW(Escaleta!$A$5:$A$504))))</f>
        <v/>
      </c>
      <c r="P135" s="50">
        <f>IF(OR($A135="",F$6=""),0,SUMPRODUCT(MAX((Escaleta!$A$5:$A$504=$B$4)*(Escaleta!$H$5:$H$504=F$6)*(Escaleta!$K$5:$K$504&lt;&gt;"Cancelada")*(Escaleta!$C$5:$C$504&lt;$A135+Configuración!$C$7/1440)*(Escaleta!$E$5:$E$504&gt;$A135)*ROW(Escaleta!$A$5:$A$504))))</f>
        <v/>
      </c>
      <c r="Q135" s="50">
        <f>IF(OR($A135="",G$6=""),0,SUMPRODUCT(MAX((Escaleta!$A$5:$A$504=$B$4)*(Escaleta!$H$5:$H$504=G$6)*(Escaleta!$K$5:$K$504&lt;&gt;"Cancelada")*(Escaleta!$C$5:$C$504&lt;$A135+Configuración!$C$7/1440)*(Escaleta!$E$5:$E$504&gt;$A135)*ROW(Escaleta!$A$5:$A$504))))</f>
        <v/>
      </c>
      <c r="R135" s="50">
        <f>IF(OR($A135="",H$6=""),0,SUMPRODUCT(MAX((Escaleta!$A$5:$A$504=$B$4)*(Escaleta!$H$5:$H$504=H$6)*(Escaleta!$K$5:$K$504&lt;&gt;"Cancelada")*(Escaleta!$C$5:$C$504&lt;$A135+Configuración!$C$7/1440)*(Escaleta!$E$5:$E$504&gt;$A135)*ROW(Escaleta!$A$5:$A$504))))</f>
        <v/>
      </c>
      <c r="S135" s="50">
        <f>IF(OR($A135="",I$6=""),0,SUMPRODUCT(MAX((Escaleta!$A$5:$A$504=$B$4)*(Escaleta!$H$5:$H$504=I$6)*(Escaleta!$K$5:$K$504&lt;&gt;"Cancelada")*(Escaleta!$C$5:$C$504&lt;$A135+Configuración!$C$7/1440)*(Escaleta!$E$5:$E$504&gt;$A135)*ROW(Escaleta!$A$5:$A$504))))</f>
        <v/>
      </c>
      <c r="U135" s="50">
        <f>IF(L135=0,"",INDEX(Escaleta!$I$1:$I$504,L135))</f>
        <v/>
      </c>
      <c r="V135" s="50">
        <f>IF(M135=0,"",INDEX(Escaleta!$I$1:$I$504,M135))</f>
        <v/>
      </c>
      <c r="W135" s="50">
        <f>IF(N135=0,"",INDEX(Escaleta!$I$1:$I$504,N135))</f>
        <v/>
      </c>
      <c r="X135" s="50">
        <f>IF(O135=0,"",INDEX(Escaleta!$I$1:$I$504,O135))</f>
        <v/>
      </c>
      <c r="Y135" s="50">
        <f>IF(P135=0,"",INDEX(Escaleta!$I$1:$I$504,P135))</f>
        <v/>
      </c>
      <c r="Z135" s="50">
        <f>IF(Q135=0,"",INDEX(Escaleta!$I$1:$I$504,Q135))</f>
        <v/>
      </c>
      <c r="AA135" s="50">
        <f>IF(R135=0,"",INDEX(Escaleta!$I$1:$I$504,R135))</f>
        <v/>
      </c>
      <c r="AB135" s="50">
        <f>IF(S135=0,"",INDEX(Escaleta!$I$1:$I$504,S135))</f>
        <v/>
      </c>
    </row>
    <row r="136" ht="18" customHeight="1">
      <c r="A136" s="48">
        <f>IF(A135="","",IF(A135+Configuración!$C$7/1440&gt;Configuración!$C$6-0.0001,"",A135+Configuración!$C$7/1440))</f>
        <v/>
      </c>
      <c r="B136" s="49">
        <f>IF(L136=0,"",IF(L136&lt;&gt;L135,INDEX(Escaleta!$F$1:$F$504,L136),IF(L136&lt;&gt;L134,TEXT(INDEX(Escaleta!$C$1:$C$504,L136),"hh:mm")&amp;"–"&amp;TEXT(INDEX(Escaleta!$E$1:$E$504,L136),"hh:mm"),"")))</f>
        <v/>
      </c>
      <c r="C136" s="49">
        <f>IF(M136=0,"",IF(M136&lt;&gt;M135,INDEX(Escaleta!$F$1:$F$504,M136),IF(M136&lt;&gt;M134,TEXT(INDEX(Escaleta!$C$1:$C$504,M136),"hh:mm")&amp;"–"&amp;TEXT(INDEX(Escaleta!$E$1:$E$504,M136),"hh:mm"),"")))</f>
        <v/>
      </c>
      <c r="D136" s="49">
        <f>IF(N136=0,"",IF(N136&lt;&gt;N135,INDEX(Escaleta!$F$1:$F$504,N136),IF(N136&lt;&gt;N134,TEXT(INDEX(Escaleta!$C$1:$C$504,N136),"hh:mm")&amp;"–"&amp;TEXT(INDEX(Escaleta!$E$1:$E$504,N136),"hh:mm"),"")))</f>
        <v/>
      </c>
      <c r="E136" s="49">
        <f>IF(O136=0,"",IF(O136&lt;&gt;O135,INDEX(Escaleta!$F$1:$F$504,O136),IF(O136&lt;&gt;O134,TEXT(INDEX(Escaleta!$C$1:$C$504,O136),"hh:mm")&amp;"–"&amp;TEXT(INDEX(Escaleta!$E$1:$E$504,O136),"hh:mm"),"")))</f>
        <v/>
      </c>
      <c r="F136" s="49">
        <f>IF(P136=0,"",IF(P136&lt;&gt;P135,INDEX(Escaleta!$F$1:$F$504,P136),IF(P136&lt;&gt;P134,TEXT(INDEX(Escaleta!$C$1:$C$504,P136),"hh:mm")&amp;"–"&amp;TEXT(INDEX(Escaleta!$E$1:$E$504,P136),"hh:mm"),"")))</f>
        <v/>
      </c>
      <c r="G136" s="49">
        <f>IF(Q136=0,"",IF(Q136&lt;&gt;Q135,INDEX(Escaleta!$F$1:$F$504,Q136),IF(Q136&lt;&gt;Q134,TEXT(INDEX(Escaleta!$C$1:$C$504,Q136),"hh:mm")&amp;"–"&amp;TEXT(INDEX(Escaleta!$E$1:$E$504,Q136),"hh:mm"),"")))</f>
        <v/>
      </c>
      <c r="H136" s="49">
        <f>IF(R136=0,"",IF(R136&lt;&gt;R135,INDEX(Escaleta!$F$1:$F$504,R136),IF(R136&lt;&gt;R134,TEXT(INDEX(Escaleta!$C$1:$C$504,R136),"hh:mm")&amp;"–"&amp;TEXT(INDEX(Escaleta!$E$1:$E$504,R136),"hh:mm"),"")))</f>
        <v/>
      </c>
      <c r="I136" s="49">
        <f>IF(S136=0,"",IF(S136&lt;&gt;S135,INDEX(Escaleta!$F$1:$F$504,S136),IF(S136&lt;&gt;S134,TEXT(INDEX(Escaleta!$C$1:$C$504,S136),"hh:mm")&amp;"–"&amp;TEXT(INDEX(Escaleta!$E$1:$E$504,S136),"hh:mm"),"")))</f>
        <v/>
      </c>
      <c r="L136" s="50">
        <f>IF(OR($A136="",B$6=""),0,SUMPRODUCT(MAX((Escaleta!$A$5:$A$504=$B$4)*(Escaleta!$H$5:$H$504=B$6)*(Escaleta!$K$5:$K$504&lt;&gt;"Cancelada")*(Escaleta!$C$5:$C$504&lt;$A136+Configuración!$C$7/1440)*(Escaleta!$E$5:$E$504&gt;$A136)*ROW(Escaleta!$A$5:$A$504))))</f>
        <v/>
      </c>
      <c r="M136" s="50">
        <f>IF(OR($A136="",C$6=""),0,SUMPRODUCT(MAX((Escaleta!$A$5:$A$504=$B$4)*(Escaleta!$H$5:$H$504=C$6)*(Escaleta!$K$5:$K$504&lt;&gt;"Cancelada")*(Escaleta!$C$5:$C$504&lt;$A136+Configuración!$C$7/1440)*(Escaleta!$E$5:$E$504&gt;$A136)*ROW(Escaleta!$A$5:$A$504))))</f>
        <v/>
      </c>
      <c r="N136" s="50">
        <f>IF(OR($A136="",D$6=""),0,SUMPRODUCT(MAX((Escaleta!$A$5:$A$504=$B$4)*(Escaleta!$H$5:$H$504=D$6)*(Escaleta!$K$5:$K$504&lt;&gt;"Cancelada")*(Escaleta!$C$5:$C$504&lt;$A136+Configuración!$C$7/1440)*(Escaleta!$E$5:$E$504&gt;$A136)*ROW(Escaleta!$A$5:$A$504))))</f>
        <v/>
      </c>
      <c r="O136" s="50">
        <f>IF(OR($A136="",E$6=""),0,SUMPRODUCT(MAX((Escaleta!$A$5:$A$504=$B$4)*(Escaleta!$H$5:$H$504=E$6)*(Escaleta!$K$5:$K$504&lt;&gt;"Cancelada")*(Escaleta!$C$5:$C$504&lt;$A136+Configuración!$C$7/1440)*(Escaleta!$E$5:$E$504&gt;$A136)*ROW(Escaleta!$A$5:$A$504))))</f>
        <v/>
      </c>
      <c r="P136" s="50">
        <f>IF(OR($A136="",F$6=""),0,SUMPRODUCT(MAX((Escaleta!$A$5:$A$504=$B$4)*(Escaleta!$H$5:$H$504=F$6)*(Escaleta!$K$5:$K$504&lt;&gt;"Cancelada")*(Escaleta!$C$5:$C$504&lt;$A136+Configuración!$C$7/1440)*(Escaleta!$E$5:$E$504&gt;$A136)*ROW(Escaleta!$A$5:$A$504))))</f>
        <v/>
      </c>
      <c r="Q136" s="50">
        <f>IF(OR($A136="",G$6=""),0,SUMPRODUCT(MAX((Escaleta!$A$5:$A$504=$B$4)*(Escaleta!$H$5:$H$504=G$6)*(Escaleta!$K$5:$K$504&lt;&gt;"Cancelada")*(Escaleta!$C$5:$C$504&lt;$A136+Configuración!$C$7/1440)*(Escaleta!$E$5:$E$504&gt;$A136)*ROW(Escaleta!$A$5:$A$504))))</f>
        <v/>
      </c>
      <c r="R136" s="50">
        <f>IF(OR($A136="",H$6=""),0,SUMPRODUCT(MAX((Escaleta!$A$5:$A$504=$B$4)*(Escaleta!$H$5:$H$504=H$6)*(Escaleta!$K$5:$K$504&lt;&gt;"Cancelada")*(Escaleta!$C$5:$C$504&lt;$A136+Configuración!$C$7/1440)*(Escaleta!$E$5:$E$504&gt;$A136)*ROW(Escaleta!$A$5:$A$504))))</f>
        <v/>
      </c>
      <c r="S136" s="50">
        <f>IF(OR($A136="",I$6=""),0,SUMPRODUCT(MAX((Escaleta!$A$5:$A$504=$B$4)*(Escaleta!$H$5:$H$504=I$6)*(Escaleta!$K$5:$K$504&lt;&gt;"Cancelada")*(Escaleta!$C$5:$C$504&lt;$A136+Configuración!$C$7/1440)*(Escaleta!$E$5:$E$504&gt;$A136)*ROW(Escaleta!$A$5:$A$504))))</f>
        <v/>
      </c>
      <c r="U136" s="50">
        <f>IF(L136=0,"",INDEX(Escaleta!$I$1:$I$504,L136))</f>
        <v/>
      </c>
      <c r="V136" s="50">
        <f>IF(M136=0,"",INDEX(Escaleta!$I$1:$I$504,M136))</f>
        <v/>
      </c>
      <c r="W136" s="50">
        <f>IF(N136=0,"",INDEX(Escaleta!$I$1:$I$504,N136))</f>
        <v/>
      </c>
      <c r="X136" s="50">
        <f>IF(O136=0,"",INDEX(Escaleta!$I$1:$I$504,O136))</f>
        <v/>
      </c>
      <c r="Y136" s="50">
        <f>IF(P136=0,"",INDEX(Escaleta!$I$1:$I$504,P136))</f>
        <v/>
      </c>
      <c r="Z136" s="50">
        <f>IF(Q136=0,"",INDEX(Escaleta!$I$1:$I$504,Q136))</f>
        <v/>
      </c>
      <c r="AA136" s="50">
        <f>IF(R136=0,"",INDEX(Escaleta!$I$1:$I$504,R136))</f>
        <v/>
      </c>
      <c r="AB136" s="50">
        <f>IF(S136=0,"",INDEX(Escaleta!$I$1:$I$504,S136))</f>
        <v/>
      </c>
    </row>
    <row r="137" ht="18" customHeight="1">
      <c r="A137" s="48">
        <f>IF(A136="","",IF(A136+Configuración!$C$7/1440&gt;Configuración!$C$6-0.0001,"",A136+Configuración!$C$7/1440))</f>
        <v/>
      </c>
      <c r="B137" s="49">
        <f>IF(L137=0,"",IF(L137&lt;&gt;L136,INDEX(Escaleta!$F$1:$F$504,L137),IF(L137&lt;&gt;L135,TEXT(INDEX(Escaleta!$C$1:$C$504,L137),"hh:mm")&amp;"–"&amp;TEXT(INDEX(Escaleta!$E$1:$E$504,L137),"hh:mm"),"")))</f>
        <v/>
      </c>
      <c r="C137" s="49">
        <f>IF(M137=0,"",IF(M137&lt;&gt;M136,INDEX(Escaleta!$F$1:$F$504,M137),IF(M137&lt;&gt;M135,TEXT(INDEX(Escaleta!$C$1:$C$504,M137),"hh:mm")&amp;"–"&amp;TEXT(INDEX(Escaleta!$E$1:$E$504,M137),"hh:mm"),"")))</f>
        <v/>
      </c>
      <c r="D137" s="49">
        <f>IF(N137=0,"",IF(N137&lt;&gt;N136,INDEX(Escaleta!$F$1:$F$504,N137),IF(N137&lt;&gt;N135,TEXT(INDEX(Escaleta!$C$1:$C$504,N137),"hh:mm")&amp;"–"&amp;TEXT(INDEX(Escaleta!$E$1:$E$504,N137),"hh:mm"),"")))</f>
        <v/>
      </c>
      <c r="E137" s="49">
        <f>IF(O137=0,"",IF(O137&lt;&gt;O136,INDEX(Escaleta!$F$1:$F$504,O137),IF(O137&lt;&gt;O135,TEXT(INDEX(Escaleta!$C$1:$C$504,O137),"hh:mm")&amp;"–"&amp;TEXT(INDEX(Escaleta!$E$1:$E$504,O137),"hh:mm"),"")))</f>
        <v/>
      </c>
      <c r="F137" s="49">
        <f>IF(P137=0,"",IF(P137&lt;&gt;P136,INDEX(Escaleta!$F$1:$F$504,P137),IF(P137&lt;&gt;P135,TEXT(INDEX(Escaleta!$C$1:$C$504,P137),"hh:mm")&amp;"–"&amp;TEXT(INDEX(Escaleta!$E$1:$E$504,P137),"hh:mm"),"")))</f>
        <v/>
      </c>
      <c r="G137" s="49">
        <f>IF(Q137=0,"",IF(Q137&lt;&gt;Q136,INDEX(Escaleta!$F$1:$F$504,Q137),IF(Q137&lt;&gt;Q135,TEXT(INDEX(Escaleta!$C$1:$C$504,Q137),"hh:mm")&amp;"–"&amp;TEXT(INDEX(Escaleta!$E$1:$E$504,Q137),"hh:mm"),"")))</f>
        <v/>
      </c>
      <c r="H137" s="49">
        <f>IF(R137=0,"",IF(R137&lt;&gt;R136,INDEX(Escaleta!$F$1:$F$504,R137),IF(R137&lt;&gt;R135,TEXT(INDEX(Escaleta!$C$1:$C$504,R137),"hh:mm")&amp;"–"&amp;TEXT(INDEX(Escaleta!$E$1:$E$504,R137),"hh:mm"),"")))</f>
        <v/>
      </c>
      <c r="I137" s="49">
        <f>IF(S137=0,"",IF(S137&lt;&gt;S136,INDEX(Escaleta!$F$1:$F$504,S137),IF(S137&lt;&gt;S135,TEXT(INDEX(Escaleta!$C$1:$C$504,S137),"hh:mm")&amp;"–"&amp;TEXT(INDEX(Escaleta!$E$1:$E$504,S137),"hh:mm"),"")))</f>
        <v/>
      </c>
      <c r="L137" s="50">
        <f>IF(OR($A137="",B$6=""),0,SUMPRODUCT(MAX((Escaleta!$A$5:$A$504=$B$4)*(Escaleta!$H$5:$H$504=B$6)*(Escaleta!$K$5:$K$504&lt;&gt;"Cancelada")*(Escaleta!$C$5:$C$504&lt;$A137+Configuración!$C$7/1440)*(Escaleta!$E$5:$E$504&gt;$A137)*ROW(Escaleta!$A$5:$A$504))))</f>
        <v/>
      </c>
      <c r="M137" s="50">
        <f>IF(OR($A137="",C$6=""),0,SUMPRODUCT(MAX((Escaleta!$A$5:$A$504=$B$4)*(Escaleta!$H$5:$H$504=C$6)*(Escaleta!$K$5:$K$504&lt;&gt;"Cancelada")*(Escaleta!$C$5:$C$504&lt;$A137+Configuración!$C$7/1440)*(Escaleta!$E$5:$E$504&gt;$A137)*ROW(Escaleta!$A$5:$A$504))))</f>
        <v/>
      </c>
      <c r="N137" s="50">
        <f>IF(OR($A137="",D$6=""),0,SUMPRODUCT(MAX((Escaleta!$A$5:$A$504=$B$4)*(Escaleta!$H$5:$H$504=D$6)*(Escaleta!$K$5:$K$504&lt;&gt;"Cancelada")*(Escaleta!$C$5:$C$504&lt;$A137+Configuración!$C$7/1440)*(Escaleta!$E$5:$E$504&gt;$A137)*ROW(Escaleta!$A$5:$A$504))))</f>
        <v/>
      </c>
      <c r="O137" s="50">
        <f>IF(OR($A137="",E$6=""),0,SUMPRODUCT(MAX((Escaleta!$A$5:$A$504=$B$4)*(Escaleta!$H$5:$H$504=E$6)*(Escaleta!$K$5:$K$504&lt;&gt;"Cancelada")*(Escaleta!$C$5:$C$504&lt;$A137+Configuración!$C$7/1440)*(Escaleta!$E$5:$E$504&gt;$A137)*ROW(Escaleta!$A$5:$A$504))))</f>
        <v/>
      </c>
      <c r="P137" s="50">
        <f>IF(OR($A137="",F$6=""),0,SUMPRODUCT(MAX((Escaleta!$A$5:$A$504=$B$4)*(Escaleta!$H$5:$H$504=F$6)*(Escaleta!$K$5:$K$504&lt;&gt;"Cancelada")*(Escaleta!$C$5:$C$504&lt;$A137+Configuración!$C$7/1440)*(Escaleta!$E$5:$E$504&gt;$A137)*ROW(Escaleta!$A$5:$A$504))))</f>
        <v/>
      </c>
      <c r="Q137" s="50">
        <f>IF(OR($A137="",G$6=""),0,SUMPRODUCT(MAX((Escaleta!$A$5:$A$504=$B$4)*(Escaleta!$H$5:$H$504=G$6)*(Escaleta!$K$5:$K$504&lt;&gt;"Cancelada")*(Escaleta!$C$5:$C$504&lt;$A137+Configuración!$C$7/1440)*(Escaleta!$E$5:$E$504&gt;$A137)*ROW(Escaleta!$A$5:$A$504))))</f>
        <v/>
      </c>
      <c r="R137" s="50">
        <f>IF(OR($A137="",H$6=""),0,SUMPRODUCT(MAX((Escaleta!$A$5:$A$504=$B$4)*(Escaleta!$H$5:$H$504=H$6)*(Escaleta!$K$5:$K$504&lt;&gt;"Cancelada")*(Escaleta!$C$5:$C$504&lt;$A137+Configuración!$C$7/1440)*(Escaleta!$E$5:$E$504&gt;$A137)*ROW(Escaleta!$A$5:$A$504))))</f>
        <v/>
      </c>
      <c r="S137" s="50">
        <f>IF(OR($A137="",I$6=""),0,SUMPRODUCT(MAX((Escaleta!$A$5:$A$504=$B$4)*(Escaleta!$H$5:$H$504=I$6)*(Escaleta!$K$5:$K$504&lt;&gt;"Cancelada")*(Escaleta!$C$5:$C$504&lt;$A137+Configuración!$C$7/1440)*(Escaleta!$E$5:$E$504&gt;$A137)*ROW(Escaleta!$A$5:$A$504))))</f>
        <v/>
      </c>
      <c r="U137" s="50">
        <f>IF(L137=0,"",INDEX(Escaleta!$I$1:$I$504,L137))</f>
        <v/>
      </c>
      <c r="V137" s="50">
        <f>IF(M137=0,"",INDEX(Escaleta!$I$1:$I$504,M137))</f>
        <v/>
      </c>
      <c r="W137" s="50">
        <f>IF(N137=0,"",INDEX(Escaleta!$I$1:$I$504,N137))</f>
        <v/>
      </c>
      <c r="X137" s="50">
        <f>IF(O137=0,"",INDEX(Escaleta!$I$1:$I$504,O137))</f>
        <v/>
      </c>
      <c r="Y137" s="50">
        <f>IF(P137=0,"",INDEX(Escaleta!$I$1:$I$504,P137))</f>
        <v/>
      </c>
      <c r="Z137" s="50">
        <f>IF(Q137=0,"",INDEX(Escaleta!$I$1:$I$504,Q137))</f>
        <v/>
      </c>
      <c r="AA137" s="50">
        <f>IF(R137=0,"",INDEX(Escaleta!$I$1:$I$504,R137))</f>
        <v/>
      </c>
      <c r="AB137" s="50">
        <f>IF(S137=0,"",INDEX(Escaleta!$I$1:$I$504,S137))</f>
        <v/>
      </c>
    </row>
    <row r="138" ht="18" customHeight="1">
      <c r="A138" s="48">
        <f>IF(A137="","",IF(A137+Configuración!$C$7/1440&gt;Configuración!$C$6-0.0001,"",A137+Configuración!$C$7/1440))</f>
        <v/>
      </c>
      <c r="B138" s="49">
        <f>IF(L138=0,"",IF(L138&lt;&gt;L137,INDEX(Escaleta!$F$1:$F$504,L138),IF(L138&lt;&gt;L136,TEXT(INDEX(Escaleta!$C$1:$C$504,L138),"hh:mm")&amp;"–"&amp;TEXT(INDEX(Escaleta!$E$1:$E$504,L138),"hh:mm"),"")))</f>
        <v/>
      </c>
      <c r="C138" s="49">
        <f>IF(M138=0,"",IF(M138&lt;&gt;M137,INDEX(Escaleta!$F$1:$F$504,M138),IF(M138&lt;&gt;M136,TEXT(INDEX(Escaleta!$C$1:$C$504,M138),"hh:mm")&amp;"–"&amp;TEXT(INDEX(Escaleta!$E$1:$E$504,M138),"hh:mm"),"")))</f>
        <v/>
      </c>
      <c r="D138" s="49">
        <f>IF(N138=0,"",IF(N138&lt;&gt;N137,INDEX(Escaleta!$F$1:$F$504,N138),IF(N138&lt;&gt;N136,TEXT(INDEX(Escaleta!$C$1:$C$504,N138),"hh:mm")&amp;"–"&amp;TEXT(INDEX(Escaleta!$E$1:$E$504,N138),"hh:mm"),"")))</f>
        <v/>
      </c>
      <c r="E138" s="49">
        <f>IF(O138=0,"",IF(O138&lt;&gt;O137,INDEX(Escaleta!$F$1:$F$504,O138),IF(O138&lt;&gt;O136,TEXT(INDEX(Escaleta!$C$1:$C$504,O138),"hh:mm")&amp;"–"&amp;TEXT(INDEX(Escaleta!$E$1:$E$504,O138),"hh:mm"),"")))</f>
        <v/>
      </c>
      <c r="F138" s="49">
        <f>IF(P138=0,"",IF(P138&lt;&gt;P137,INDEX(Escaleta!$F$1:$F$504,P138),IF(P138&lt;&gt;P136,TEXT(INDEX(Escaleta!$C$1:$C$504,P138),"hh:mm")&amp;"–"&amp;TEXT(INDEX(Escaleta!$E$1:$E$504,P138),"hh:mm"),"")))</f>
        <v/>
      </c>
      <c r="G138" s="49">
        <f>IF(Q138=0,"",IF(Q138&lt;&gt;Q137,INDEX(Escaleta!$F$1:$F$504,Q138),IF(Q138&lt;&gt;Q136,TEXT(INDEX(Escaleta!$C$1:$C$504,Q138),"hh:mm")&amp;"–"&amp;TEXT(INDEX(Escaleta!$E$1:$E$504,Q138),"hh:mm"),"")))</f>
        <v/>
      </c>
      <c r="H138" s="49">
        <f>IF(R138=0,"",IF(R138&lt;&gt;R137,INDEX(Escaleta!$F$1:$F$504,R138),IF(R138&lt;&gt;R136,TEXT(INDEX(Escaleta!$C$1:$C$504,R138),"hh:mm")&amp;"–"&amp;TEXT(INDEX(Escaleta!$E$1:$E$504,R138),"hh:mm"),"")))</f>
        <v/>
      </c>
      <c r="I138" s="49">
        <f>IF(S138=0,"",IF(S138&lt;&gt;S137,INDEX(Escaleta!$F$1:$F$504,S138),IF(S138&lt;&gt;S136,TEXT(INDEX(Escaleta!$C$1:$C$504,S138),"hh:mm")&amp;"–"&amp;TEXT(INDEX(Escaleta!$E$1:$E$504,S138),"hh:mm"),"")))</f>
        <v/>
      </c>
      <c r="L138" s="50">
        <f>IF(OR($A138="",B$6=""),0,SUMPRODUCT(MAX((Escaleta!$A$5:$A$504=$B$4)*(Escaleta!$H$5:$H$504=B$6)*(Escaleta!$K$5:$K$504&lt;&gt;"Cancelada")*(Escaleta!$C$5:$C$504&lt;$A138+Configuración!$C$7/1440)*(Escaleta!$E$5:$E$504&gt;$A138)*ROW(Escaleta!$A$5:$A$504))))</f>
        <v/>
      </c>
      <c r="M138" s="50">
        <f>IF(OR($A138="",C$6=""),0,SUMPRODUCT(MAX((Escaleta!$A$5:$A$504=$B$4)*(Escaleta!$H$5:$H$504=C$6)*(Escaleta!$K$5:$K$504&lt;&gt;"Cancelada")*(Escaleta!$C$5:$C$504&lt;$A138+Configuración!$C$7/1440)*(Escaleta!$E$5:$E$504&gt;$A138)*ROW(Escaleta!$A$5:$A$504))))</f>
        <v/>
      </c>
      <c r="N138" s="50">
        <f>IF(OR($A138="",D$6=""),0,SUMPRODUCT(MAX((Escaleta!$A$5:$A$504=$B$4)*(Escaleta!$H$5:$H$504=D$6)*(Escaleta!$K$5:$K$504&lt;&gt;"Cancelada")*(Escaleta!$C$5:$C$504&lt;$A138+Configuración!$C$7/1440)*(Escaleta!$E$5:$E$504&gt;$A138)*ROW(Escaleta!$A$5:$A$504))))</f>
        <v/>
      </c>
      <c r="O138" s="50">
        <f>IF(OR($A138="",E$6=""),0,SUMPRODUCT(MAX((Escaleta!$A$5:$A$504=$B$4)*(Escaleta!$H$5:$H$504=E$6)*(Escaleta!$K$5:$K$504&lt;&gt;"Cancelada")*(Escaleta!$C$5:$C$504&lt;$A138+Configuración!$C$7/1440)*(Escaleta!$E$5:$E$504&gt;$A138)*ROW(Escaleta!$A$5:$A$504))))</f>
        <v/>
      </c>
      <c r="P138" s="50">
        <f>IF(OR($A138="",F$6=""),0,SUMPRODUCT(MAX((Escaleta!$A$5:$A$504=$B$4)*(Escaleta!$H$5:$H$504=F$6)*(Escaleta!$K$5:$K$504&lt;&gt;"Cancelada")*(Escaleta!$C$5:$C$504&lt;$A138+Configuración!$C$7/1440)*(Escaleta!$E$5:$E$504&gt;$A138)*ROW(Escaleta!$A$5:$A$504))))</f>
        <v/>
      </c>
      <c r="Q138" s="50">
        <f>IF(OR($A138="",G$6=""),0,SUMPRODUCT(MAX((Escaleta!$A$5:$A$504=$B$4)*(Escaleta!$H$5:$H$504=G$6)*(Escaleta!$K$5:$K$504&lt;&gt;"Cancelada")*(Escaleta!$C$5:$C$504&lt;$A138+Configuración!$C$7/1440)*(Escaleta!$E$5:$E$504&gt;$A138)*ROW(Escaleta!$A$5:$A$504))))</f>
        <v/>
      </c>
      <c r="R138" s="50">
        <f>IF(OR($A138="",H$6=""),0,SUMPRODUCT(MAX((Escaleta!$A$5:$A$504=$B$4)*(Escaleta!$H$5:$H$504=H$6)*(Escaleta!$K$5:$K$504&lt;&gt;"Cancelada")*(Escaleta!$C$5:$C$504&lt;$A138+Configuración!$C$7/1440)*(Escaleta!$E$5:$E$504&gt;$A138)*ROW(Escaleta!$A$5:$A$504))))</f>
        <v/>
      </c>
      <c r="S138" s="50">
        <f>IF(OR($A138="",I$6=""),0,SUMPRODUCT(MAX((Escaleta!$A$5:$A$504=$B$4)*(Escaleta!$H$5:$H$504=I$6)*(Escaleta!$K$5:$K$504&lt;&gt;"Cancelada")*(Escaleta!$C$5:$C$504&lt;$A138+Configuración!$C$7/1440)*(Escaleta!$E$5:$E$504&gt;$A138)*ROW(Escaleta!$A$5:$A$504))))</f>
        <v/>
      </c>
      <c r="U138" s="50">
        <f>IF(L138=0,"",INDEX(Escaleta!$I$1:$I$504,L138))</f>
        <v/>
      </c>
      <c r="V138" s="50">
        <f>IF(M138=0,"",INDEX(Escaleta!$I$1:$I$504,M138))</f>
        <v/>
      </c>
      <c r="W138" s="50">
        <f>IF(N138=0,"",INDEX(Escaleta!$I$1:$I$504,N138))</f>
        <v/>
      </c>
      <c r="X138" s="50">
        <f>IF(O138=0,"",INDEX(Escaleta!$I$1:$I$504,O138))</f>
        <v/>
      </c>
      <c r="Y138" s="50">
        <f>IF(P138=0,"",INDEX(Escaleta!$I$1:$I$504,P138))</f>
        <v/>
      </c>
      <c r="Z138" s="50">
        <f>IF(Q138=0,"",INDEX(Escaleta!$I$1:$I$504,Q138))</f>
        <v/>
      </c>
      <c r="AA138" s="50">
        <f>IF(R138=0,"",INDEX(Escaleta!$I$1:$I$504,R138))</f>
        <v/>
      </c>
      <c r="AB138" s="50">
        <f>IF(S138=0,"",INDEX(Escaleta!$I$1:$I$504,S138))</f>
        <v/>
      </c>
    </row>
    <row r="139" ht="18" customHeight="1">
      <c r="A139" s="48">
        <f>IF(A138="","",IF(A138+Configuración!$C$7/1440&gt;Configuración!$C$6-0.0001,"",A138+Configuración!$C$7/1440))</f>
        <v/>
      </c>
      <c r="B139" s="49">
        <f>IF(L139=0,"",IF(L139&lt;&gt;L138,INDEX(Escaleta!$F$1:$F$504,L139),IF(L139&lt;&gt;L137,TEXT(INDEX(Escaleta!$C$1:$C$504,L139),"hh:mm")&amp;"–"&amp;TEXT(INDEX(Escaleta!$E$1:$E$504,L139),"hh:mm"),"")))</f>
        <v/>
      </c>
      <c r="C139" s="49">
        <f>IF(M139=0,"",IF(M139&lt;&gt;M138,INDEX(Escaleta!$F$1:$F$504,M139),IF(M139&lt;&gt;M137,TEXT(INDEX(Escaleta!$C$1:$C$504,M139),"hh:mm")&amp;"–"&amp;TEXT(INDEX(Escaleta!$E$1:$E$504,M139),"hh:mm"),"")))</f>
        <v/>
      </c>
      <c r="D139" s="49">
        <f>IF(N139=0,"",IF(N139&lt;&gt;N138,INDEX(Escaleta!$F$1:$F$504,N139),IF(N139&lt;&gt;N137,TEXT(INDEX(Escaleta!$C$1:$C$504,N139),"hh:mm")&amp;"–"&amp;TEXT(INDEX(Escaleta!$E$1:$E$504,N139),"hh:mm"),"")))</f>
        <v/>
      </c>
      <c r="E139" s="49">
        <f>IF(O139=0,"",IF(O139&lt;&gt;O138,INDEX(Escaleta!$F$1:$F$504,O139),IF(O139&lt;&gt;O137,TEXT(INDEX(Escaleta!$C$1:$C$504,O139),"hh:mm")&amp;"–"&amp;TEXT(INDEX(Escaleta!$E$1:$E$504,O139),"hh:mm"),"")))</f>
        <v/>
      </c>
      <c r="F139" s="49">
        <f>IF(P139=0,"",IF(P139&lt;&gt;P138,INDEX(Escaleta!$F$1:$F$504,P139),IF(P139&lt;&gt;P137,TEXT(INDEX(Escaleta!$C$1:$C$504,P139),"hh:mm")&amp;"–"&amp;TEXT(INDEX(Escaleta!$E$1:$E$504,P139),"hh:mm"),"")))</f>
        <v/>
      </c>
      <c r="G139" s="49">
        <f>IF(Q139=0,"",IF(Q139&lt;&gt;Q138,INDEX(Escaleta!$F$1:$F$504,Q139),IF(Q139&lt;&gt;Q137,TEXT(INDEX(Escaleta!$C$1:$C$504,Q139),"hh:mm")&amp;"–"&amp;TEXT(INDEX(Escaleta!$E$1:$E$504,Q139),"hh:mm"),"")))</f>
        <v/>
      </c>
      <c r="H139" s="49">
        <f>IF(R139=0,"",IF(R139&lt;&gt;R138,INDEX(Escaleta!$F$1:$F$504,R139),IF(R139&lt;&gt;R137,TEXT(INDEX(Escaleta!$C$1:$C$504,R139),"hh:mm")&amp;"–"&amp;TEXT(INDEX(Escaleta!$E$1:$E$504,R139),"hh:mm"),"")))</f>
        <v/>
      </c>
      <c r="I139" s="49">
        <f>IF(S139=0,"",IF(S139&lt;&gt;S138,INDEX(Escaleta!$F$1:$F$504,S139),IF(S139&lt;&gt;S137,TEXT(INDEX(Escaleta!$C$1:$C$504,S139),"hh:mm")&amp;"–"&amp;TEXT(INDEX(Escaleta!$E$1:$E$504,S139),"hh:mm"),"")))</f>
        <v/>
      </c>
      <c r="L139" s="50">
        <f>IF(OR($A139="",B$6=""),0,SUMPRODUCT(MAX((Escaleta!$A$5:$A$504=$B$4)*(Escaleta!$H$5:$H$504=B$6)*(Escaleta!$K$5:$K$504&lt;&gt;"Cancelada")*(Escaleta!$C$5:$C$504&lt;$A139+Configuración!$C$7/1440)*(Escaleta!$E$5:$E$504&gt;$A139)*ROW(Escaleta!$A$5:$A$504))))</f>
        <v/>
      </c>
      <c r="M139" s="50">
        <f>IF(OR($A139="",C$6=""),0,SUMPRODUCT(MAX((Escaleta!$A$5:$A$504=$B$4)*(Escaleta!$H$5:$H$504=C$6)*(Escaleta!$K$5:$K$504&lt;&gt;"Cancelada")*(Escaleta!$C$5:$C$504&lt;$A139+Configuración!$C$7/1440)*(Escaleta!$E$5:$E$504&gt;$A139)*ROW(Escaleta!$A$5:$A$504))))</f>
        <v/>
      </c>
      <c r="N139" s="50">
        <f>IF(OR($A139="",D$6=""),0,SUMPRODUCT(MAX((Escaleta!$A$5:$A$504=$B$4)*(Escaleta!$H$5:$H$504=D$6)*(Escaleta!$K$5:$K$504&lt;&gt;"Cancelada")*(Escaleta!$C$5:$C$504&lt;$A139+Configuración!$C$7/1440)*(Escaleta!$E$5:$E$504&gt;$A139)*ROW(Escaleta!$A$5:$A$504))))</f>
        <v/>
      </c>
      <c r="O139" s="50">
        <f>IF(OR($A139="",E$6=""),0,SUMPRODUCT(MAX((Escaleta!$A$5:$A$504=$B$4)*(Escaleta!$H$5:$H$504=E$6)*(Escaleta!$K$5:$K$504&lt;&gt;"Cancelada")*(Escaleta!$C$5:$C$504&lt;$A139+Configuración!$C$7/1440)*(Escaleta!$E$5:$E$504&gt;$A139)*ROW(Escaleta!$A$5:$A$504))))</f>
        <v/>
      </c>
      <c r="P139" s="50">
        <f>IF(OR($A139="",F$6=""),0,SUMPRODUCT(MAX((Escaleta!$A$5:$A$504=$B$4)*(Escaleta!$H$5:$H$504=F$6)*(Escaleta!$K$5:$K$504&lt;&gt;"Cancelada")*(Escaleta!$C$5:$C$504&lt;$A139+Configuración!$C$7/1440)*(Escaleta!$E$5:$E$504&gt;$A139)*ROW(Escaleta!$A$5:$A$504))))</f>
        <v/>
      </c>
      <c r="Q139" s="50">
        <f>IF(OR($A139="",G$6=""),0,SUMPRODUCT(MAX((Escaleta!$A$5:$A$504=$B$4)*(Escaleta!$H$5:$H$504=G$6)*(Escaleta!$K$5:$K$504&lt;&gt;"Cancelada")*(Escaleta!$C$5:$C$504&lt;$A139+Configuración!$C$7/1440)*(Escaleta!$E$5:$E$504&gt;$A139)*ROW(Escaleta!$A$5:$A$504))))</f>
        <v/>
      </c>
      <c r="R139" s="50">
        <f>IF(OR($A139="",H$6=""),0,SUMPRODUCT(MAX((Escaleta!$A$5:$A$504=$B$4)*(Escaleta!$H$5:$H$504=H$6)*(Escaleta!$K$5:$K$504&lt;&gt;"Cancelada")*(Escaleta!$C$5:$C$504&lt;$A139+Configuración!$C$7/1440)*(Escaleta!$E$5:$E$504&gt;$A139)*ROW(Escaleta!$A$5:$A$504))))</f>
        <v/>
      </c>
      <c r="S139" s="50">
        <f>IF(OR($A139="",I$6=""),0,SUMPRODUCT(MAX((Escaleta!$A$5:$A$504=$B$4)*(Escaleta!$H$5:$H$504=I$6)*(Escaleta!$K$5:$K$504&lt;&gt;"Cancelada")*(Escaleta!$C$5:$C$504&lt;$A139+Configuración!$C$7/1440)*(Escaleta!$E$5:$E$504&gt;$A139)*ROW(Escaleta!$A$5:$A$504))))</f>
        <v/>
      </c>
      <c r="U139" s="50">
        <f>IF(L139=0,"",INDEX(Escaleta!$I$1:$I$504,L139))</f>
        <v/>
      </c>
      <c r="V139" s="50">
        <f>IF(M139=0,"",INDEX(Escaleta!$I$1:$I$504,M139))</f>
        <v/>
      </c>
      <c r="W139" s="50">
        <f>IF(N139=0,"",INDEX(Escaleta!$I$1:$I$504,N139))</f>
        <v/>
      </c>
      <c r="X139" s="50">
        <f>IF(O139=0,"",INDEX(Escaleta!$I$1:$I$504,O139))</f>
        <v/>
      </c>
      <c r="Y139" s="50">
        <f>IF(P139=0,"",INDEX(Escaleta!$I$1:$I$504,P139))</f>
        <v/>
      </c>
      <c r="Z139" s="50">
        <f>IF(Q139=0,"",INDEX(Escaleta!$I$1:$I$504,Q139))</f>
        <v/>
      </c>
      <c r="AA139" s="50">
        <f>IF(R139=0,"",INDEX(Escaleta!$I$1:$I$504,R139))</f>
        <v/>
      </c>
      <c r="AB139" s="50">
        <f>IF(S139=0,"",INDEX(Escaleta!$I$1:$I$504,S139))</f>
        <v/>
      </c>
    </row>
    <row r="140" ht="18" customHeight="1">
      <c r="A140" s="48">
        <f>IF(A139="","",IF(A139+Configuración!$C$7/1440&gt;Configuración!$C$6-0.0001,"",A139+Configuración!$C$7/1440))</f>
        <v/>
      </c>
      <c r="B140" s="49">
        <f>IF(L140=0,"",IF(L140&lt;&gt;L139,INDEX(Escaleta!$F$1:$F$504,L140),IF(L140&lt;&gt;L138,TEXT(INDEX(Escaleta!$C$1:$C$504,L140),"hh:mm")&amp;"–"&amp;TEXT(INDEX(Escaleta!$E$1:$E$504,L140),"hh:mm"),"")))</f>
        <v/>
      </c>
      <c r="C140" s="49">
        <f>IF(M140=0,"",IF(M140&lt;&gt;M139,INDEX(Escaleta!$F$1:$F$504,M140),IF(M140&lt;&gt;M138,TEXT(INDEX(Escaleta!$C$1:$C$504,M140),"hh:mm")&amp;"–"&amp;TEXT(INDEX(Escaleta!$E$1:$E$504,M140),"hh:mm"),"")))</f>
        <v/>
      </c>
      <c r="D140" s="49">
        <f>IF(N140=0,"",IF(N140&lt;&gt;N139,INDEX(Escaleta!$F$1:$F$504,N140),IF(N140&lt;&gt;N138,TEXT(INDEX(Escaleta!$C$1:$C$504,N140),"hh:mm")&amp;"–"&amp;TEXT(INDEX(Escaleta!$E$1:$E$504,N140),"hh:mm"),"")))</f>
        <v/>
      </c>
      <c r="E140" s="49">
        <f>IF(O140=0,"",IF(O140&lt;&gt;O139,INDEX(Escaleta!$F$1:$F$504,O140),IF(O140&lt;&gt;O138,TEXT(INDEX(Escaleta!$C$1:$C$504,O140),"hh:mm")&amp;"–"&amp;TEXT(INDEX(Escaleta!$E$1:$E$504,O140),"hh:mm"),"")))</f>
        <v/>
      </c>
      <c r="F140" s="49">
        <f>IF(P140=0,"",IF(P140&lt;&gt;P139,INDEX(Escaleta!$F$1:$F$504,P140),IF(P140&lt;&gt;P138,TEXT(INDEX(Escaleta!$C$1:$C$504,P140),"hh:mm")&amp;"–"&amp;TEXT(INDEX(Escaleta!$E$1:$E$504,P140),"hh:mm"),"")))</f>
        <v/>
      </c>
      <c r="G140" s="49">
        <f>IF(Q140=0,"",IF(Q140&lt;&gt;Q139,INDEX(Escaleta!$F$1:$F$504,Q140),IF(Q140&lt;&gt;Q138,TEXT(INDEX(Escaleta!$C$1:$C$504,Q140),"hh:mm")&amp;"–"&amp;TEXT(INDEX(Escaleta!$E$1:$E$504,Q140),"hh:mm"),"")))</f>
        <v/>
      </c>
      <c r="H140" s="49">
        <f>IF(R140=0,"",IF(R140&lt;&gt;R139,INDEX(Escaleta!$F$1:$F$504,R140),IF(R140&lt;&gt;R138,TEXT(INDEX(Escaleta!$C$1:$C$504,R140),"hh:mm")&amp;"–"&amp;TEXT(INDEX(Escaleta!$E$1:$E$504,R140),"hh:mm"),"")))</f>
        <v/>
      </c>
      <c r="I140" s="49">
        <f>IF(S140=0,"",IF(S140&lt;&gt;S139,INDEX(Escaleta!$F$1:$F$504,S140),IF(S140&lt;&gt;S138,TEXT(INDEX(Escaleta!$C$1:$C$504,S140),"hh:mm")&amp;"–"&amp;TEXT(INDEX(Escaleta!$E$1:$E$504,S140),"hh:mm"),"")))</f>
        <v/>
      </c>
      <c r="L140" s="50">
        <f>IF(OR($A140="",B$6=""),0,SUMPRODUCT(MAX((Escaleta!$A$5:$A$504=$B$4)*(Escaleta!$H$5:$H$504=B$6)*(Escaleta!$K$5:$K$504&lt;&gt;"Cancelada")*(Escaleta!$C$5:$C$504&lt;$A140+Configuración!$C$7/1440)*(Escaleta!$E$5:$E$504&gt;$A140)*ROW(Escaleta!$A$5:$A$504))))</f>
        <v/>
      </c>
      <c r="M140" s="50">
        <f>IF(OR($A140="",C$6=""),0,SUMPRODUCT(MAX((Escaleta!$A$5:$A$504=$B$4)*(Escaleta!$H$5:$H$504=C$6)*(Escaleta!$K$5:$K$504&lt;&gt;"Cancelada")*(Escaleta!$C$5:$C$504&lt;$A140+Configuración!$C$7/1440)*(Escaleta!$E$5:$E$504&gt;$A140)*ROW(Escaleta!$A$5:$A$504))))</f>
        <v/>
      </c>
      <c r="N140" s="50">
        <f>IF(OR($A140="",D$6=""),0,SUMPRODUCT(MAX((Escaleta!$A$5:$A$504=$B$4)*(Escaleta!$H$5:$H$504=D$6)*(Escaleta!$K$5:$K$504&lt;&gt;"Cancelada")*(Escaleta!$C$5:$C$504&lt;$A140+Configuración!$C$7/1440)*(Escaleta!$E$5:$E$504&gt;$A140)*ROW(Escaleta!$A$5:$A$504))))</f>
        <v/>
      </c>
      <c r="O140" s="50">
        <f>IF(OR($A140="",E$6=""),0,SUMPRODUCT(MAX((Escaleta!$A$5:$A$504=$B$4)*(Escaleta!$H$5:$H$504=E$6)*(Escaleta!$K$5:$K$504&lt;&gt;"Cancelada")*(Escaleta!$C$5:$C$504&lt;$A140+Configuración!$C$7/1440)*(Escaleta!$E$5:$E$504&gt;$A140)*ROW(Escaleta!$A$5:$A$504))))</f>
        <v/>
      </c>
      <c r="P140" s="50">
        <f>IF(OR($A140="",F$6=""),0,SUMPRODUCT(MAX((Escaleta!$A$5:$A$504=$B$4)*(Escaleta!$H$5:$H$504=F$6)*(Escaleta!$K$5:$K$504&lt;&gt;"Cancelada")*(Escaleta!$C$5:$C$504&lt;$A140+Configuración!$C$7/1440)*(Escaleta!$E$5:$E$504&gt;$A140)*ROW(Escaleta!$A$5:$A$504))))</f>
        <v/>
      </c>
      <c r="Q140" s="50">
        <f>IF(OR($A140="",G$6=""),0,SUMPRODUCT(MAX((Escaleta!$A$5:$A$504=$B$4)*(Escaleta!$H$5:$H$504=G$6)*(Escaleta!$K$5:$K$504&lt;&gt;"Cancelada")*(Escaleta!$C$5:$C$504&lt;$A140+Configuración!$C$7/1440)*(Escaleta!$E$5:$E$504&gt;$A140)*ROW(Escaleta!$A$5:$A$504))))</f>
        <v/>
      </c>
      <c r="R140" s="50">
        <f>IF(OR($A140="",H$6=""),0,SUMPRODUCT(MAX((Escaleta!$A$5:$A$504=$B$4)*(Escaleta!$H$5:$H$504=H$6)*(Escaleta!$K$5:$K$504&lt;&gt;"Cancelada")*(Escaleta!$C$5:$C$504&lt;$A140+Configuración!$C$7/1440)*(Escaleta!$E$5:$E$504&gt;$A140)*ROW(Escaleta!$A$5:$A$504))))</f>
        <v/>
      </c>
      <c r="S140" s="50">
        <f>IF(OR($A140="",I$6=""),0,SUMPRODUCT(MAX((Escaleta!$A$5:$A$504=$B$4)*(Escaleta!$H$5:$H$504=I$6)*(Escaleta!$K$5:$K$504&lt;&gt;"Cancelada")*(Escaleta!$C$5:$C$504&lt;$A140+Configuración!$C$7/1440)*(Escaleta!$E$5:$E$504&gt;$A140)*ROW(Escaleta!$A$5:$A$504))))</f>
        <v/>
      </c>
      <c r="U140" s="50">
        <f>IF(L140=0,"",INDEX(Escaleta!$I$1:$I$504,L140))</f>
        <v/>
      </c>
      <c r="V140" s="50">
        <f>IF(M140=0,"",INDEX(Escaleta!$I$1:$I$504,M140))</f>
        <v/>
      </c>
      <c r="W140" s="50">
        <f>IF(N140=0,"",INDEX(Escaleta!$I$1:$I$504,N140))</f>
        <v/>
      </c>
      <c r="X140" s="50">
        <f>IF(O140=0,"",INDEX(Escaleta!$I$1:$I$504,O140))</f>
        <v/>
      </c>
      <c r="Y140" s="50">
        <f>IF(P140=0,"",INDEX(Escaleta!$I$1:$I$504,P140))</f>
        <v/>
      </c>
      <c r="Z140" s="50">
        <f>IF(Q140=0,"",INDEX(Escaleta!$I$1:$I$504,Q140))</f>
        <v/>
      </c>
      <c r="AA140" s="50">
        <f>IF(R140=0,"",INDEX(Escaleta!$I$1:$I$504,R140))</f>
        <v/>
      </c>
      <c r="AB140" s="50">
        <f>IF(S140=0,"",INDEX(Escaleta!$I$1:$I$504,S140))</f>
        <v/>
      </c>
    </row>
    <row r="141" ht="18" customHeight="1">
      <c r="A141" s="48">
        <f>IF(A140="","",IF(A140+Configuración!$C$7/1440&gt;Configuración!$C$6-0.0001,"",A140+Configuración!$C$7/1440))</f>
        <v/>
      </c>
      <c r="B141" s="49">
        <f>IF(L141=0,"",IF(L141&lt;&gt;L140,INDEX(Escaleta!$F$1:$F$504,L141),IF(L141&lt;&gt;L139,TEXT(INDEX(Escaleta!$C$1:$C$504,L141),"hh:mm")&amp;"–"&amp;TEXT(INDEX(Escaleta!$E$1:$E$504,L141),"hh:mm"),"")))</f>
        <v/>
      </c>
      <c r="C141" s="49">
        <f>IF(M141=0,"",IF(M141&lt;&gt;M140,INDEX(Escaleta!$F$1:$F$504,M141),IF(M141&lt;&gt;M139,TEXT(INDEX(Escaleta!$C$1:$C$504,M141),"hh:mm")&amp;"–"&amp;TEXT(INDEX(Escaleta!$E$1:$E$504,M141),"hh:mm"),"")))</f>
        <v/>
      </c>
      <c r="D141" s="49">
        <f>IF(N141=0,"",IF(N141&lt;&gt;N140,INDEX(Escaleta!$F$1:$F$504,N141),IF(N141&lt;&gt;N139,TEXT(INDEX(Escaleta!$C$1:$C$504,N141),"hh:mm")&amp;"–"&amp;TEXT(INDEX(Escaleta!$E$1:$E$504,N141),"hh:mm"),"")))</f>
        <v/>
      </c>
      <c r="E141" s="49">
        <f>IF(O141=0,"",IF(O141&lt;&gt;O140,INDEX(Escaleta!$F$1:$F$504,O141),IF(O141&lt;&gt;O139,TEXT(INDEX(Escaleta!$C$1:$C$504,O141),"hh:mm")&amp;"–"&amp;TEXT(INDEX(Escaleta!$E$1:$E$504,O141),"hh:mm"),"")))</f>
        <v/>
      </c>
      <c r="F141" s="49">
        <f>IF(P141=0,"",IF(P141&lt;&gt;P140,INDEX(Escaleta!$F$1:$F$504,P141),IF(P141&lt;&gt;P139,TEXT(INDEX(Escaleta!$C$1:$C$504,P141),"hh:mm")&amp;"–"&amp;TEXT(INDEX(Escaleta!$E$1:$E$504,P141),"hh:mm"),"")))</f>
        <v/>
      </c>
      <c r="G141" s="49">
        <f>IF(Q141=0,"",IF(Q141&lt;&gt;Q140,INDEX(Escaleta!$F$1:$F$504,Q141),IF(Q141&lt;&gt;Q139,TEXT(INDEX(Escaleta!$C$1:$C$504,Q141),"hh:mm")&amp;"–"&amp;TEXT(INDEX(Escaleta!$E$1:$E$504,Q141),"hh:mm"),"")))</f>
        <v/>
      </c>
      <c r="H141" s="49">
        <f>IF(R141=0,"",IF(R141&lt;&gt;R140,INDEX(Escaleta!$F$1:$F$504,R141),IF(R141&lt;&gt;R139,TEXT(INDEX(Escaleta!$C$1:$C$504,R141),"hh:mm")&amp;"–"&amp;TEXT(INDEX(Escaleta!$E$1:$E$504,R141),"hh:mm"),"")))</f>
        <v/>
      </c>
      <c r="I141" s="49">
        <f>IF(S141=0,"",IF(S141&lt;&gt;S140,INDEX(Escaleta!$F$1:$F$504,S141),IF(S141&lt;&gt;S139,TEXT(INDEX(Escaleta!$C$1:$C$504,S141),"hh:mm")&amp;"–"&amp;TEXT(INDEX(Escaleta!$E$1:$E$504,S141),"hh:mm"),"")))</f>
        <v/>
      </c>
      <c r="L141" s="50">
        <f>IF(OR($A141="",B$6=""),0,SUMPRODUCT(MAX((Escaleta!$A$5:$A$504=$B$4)*(Escaleta!$H$5:$H$504=B$6)*(Escaleta!$K$5:$K$504&lt;&gt;"Cancelada")*(Escaleta!$C$5:$C$504&lt;$A141+Configuración!$C$7/1440)*(Escaleta!$E$5:$E$504&gt;$A141)*ROW(Escaleta!$A$5:$A$504))))</f>
        <v/>
      </c>
      <c r="M141" s="50">
        <f>IF(OR($A141="",C$6=""),0,SUMPRODUCT(MAX((Escaleta!$A$5:$A$504=$B$4)*(Escaleta!$H$5:$H$504=C$6)*(Escaleta!$K$5:$K$504&lt;&gt;"Cancelada")*(Escaleta!$C$5:$C$504&lt;$A141+Configuración!$C$7/1440)*(Escaleta!$E$5:$E$504&gt;$A141)*ROW(Escaleta!$A$5:$A$504))))</f>
        <v/>
      </c>
      <c r="N141" s="50">
        <f>IF(OR($A141="",D$6=""),0,SUMPRODUCT(MAX((Escaleta!$A$5:$A$504=$B$4)*(Escaleta!$H$5:$H$504=D$6)*(Escaleta!$K$5:$K$504&lt;&gt;"Cancelada")*(Escaleta!$C$5:$C$504&lt;$A141+Configuración!$C$7/1440)*(Escaleta!$E$5:$E$504&gt;$A141)*ROW(Escaleta!$A$5:$A$504))))</f>
        <v/>
      </c>
      <c r="O141" s="50">
        <f>IF(OR($A141="",E$6=""),0,SUMPRODUCT(MAX((Escaleta!$A$5:$A$504=$B$4)*(Escaleta!$H$5:$H$504=E$6)*(Escaleta!$K$5:$K$504&lt;&gt;"Cancelada")*(Escaleta!$C$5:$C$504&lt;$A141+Configuración!$C$7/1440)*(Escaleta!$E$5:$E$504&gt;$A141)*ROW(Escaleta!$A$5:$A$504))))</f>
        <v/>
      </c>
      <c r="P141" s="50">
        <f>IF(OR($A141="",F$6=""),0,SUMPRODUCT(MAX((Escaleta!$A$5:$A$504=$B$4)*(Escaleta!$H$5:$H$504=F$6)*(Escaleta!$K$5:$K$504&lt;&gt;"Cancelada")*(Escaleta!$C$5:$C$504&lt;$A141+Configuración!$C$7/1440)*(Escaleta!$E$5:$E$504&gt;$A141)*ROW(Escaleta!$A$5:$A$504))))</f>
        <v/>
      </c>
      <c r="Q141" s="50">
        <f>IF(OR($A141="",G$6=""),0,SUMPRODUCT(MAX((Escaleta!$A$5:$A$504=$B$4)*(Escaleta!$H$5:$H$504=G$6)*(Escaleta!$K$5:$K$504&lt;&gt;"Cancelada")*(Escaleta!$C$5:$C$504&lt;$A141+Configuración!$C$7/1440)*(Escaleta!$E$5:$E$504&gt;$A141)*ROW(Escaleta!$A$5:$A$504))))</f>
        <v/>
      </c>
      <c r="R141" s="50">
        <f>IF(OR($A141="",H$6=""),0,SUMPRODUCT(MAX((Escaleta!$A$5:$A$504=$B$4)*(Escaleta!$H$5:$H$504=H$6)*(Escaleta!$K$5:$K$504&lt;&gt;"Cancelada")*(Escaleta!$C$5:$C$504&lt;$A141+Configuración!$C$7/1440)*(Escaleta!$E$5:$E$504&gt;$A141)*ROW(Escaleta!$A$5:$A$504))))</f>
        <v/>
      </c>
      <c r="S141" s="50">
        <f>IF(OR($A141="",I$6=""),0,SUMPRODUCT(MAX((Escaleta!$A$5:$A$504=$B$4)*(Escaleta!$H$5:$H$504=I$6)*(Escaleta!$K$5:$K$504&lt;&gt;"Cancelada")*(Escaleta!$C$5:$C$504&lt;$A141+Configuración!$C$7/1440)*(Escaleta!$E$5:$E$504&gt;$A141)*ROW(Escaleta!$A$5:$A$504))))</f>
        <v/>
      </c>
      <c r="U141" s="50">
        <f>IF(L141=0,"",INDEX(Escaleta!$I$1:$I$504,L141))</f>
        <v/>
      </c>
      <c r="V141" s="50">
        <f>IF(M141=0,"",INDEX(Escaleta!$I$1:$I$504,M141))</f>
        <v/>
      </c>
      <c r="W141" s="50">
        <f>IF(N141=0,"",INDEX(Escaleta!$I$1:$I$504,N141))</f>
        <v/>
      </c>
      <c r="X141" s="50">
        <f>IF(O141=0,"",INDEX(Escaleta!$I$1:$I$504,O141))</f>
        <v/>
      </c>
      <c r="Y141" s="50">
        <f>IF(P141=0,"",INDEX(Escaleta!$I$1:$I$504,P141))</f>
        <v/>
      </c>
      <c r="Z141" s="50">
        <f>IF(Q141=0,"",INDEX(Escaleta!$I$1:$I$504,Q141))</f>
        <v/>
      </c>
      <c r="AA141" s="50">
        <f>IF(R141=0,"",INDEX(Escaleta!$I$1:$I$504,R141))</f>
        <v/>
      </c>
      <c r="AB141" s="50">
        <f>IF(S141=0,"",INDEX(Escaleta!$I$1:$I$504,S141))</f>
        <v/>
      </c>
    </row>
    <row r="142" ht="18" customHeight="1">
      <c r="A142" s="48">
        <f>IF(A141="","",IF(A141+Configuración!$C$7/1440&gt;Configuración!$C$6-0.0001,"",A141+Configuración!$C$7/1440))</f>
        <v/>
      </c>
      <c r="B142" s="49">
        <f>IF(L142=0,"",IF(L142&lt;&gt;L141,INDEX(Escaleta!$F$1:$F$504,L142),IF(L142&lt;&gt;L140,TEXT(INDEX(Escaleta!$C$1:$C$504,L142),"hh:mm")&amp;"–"&amp;TEXT(INDEX(Escaleta!$E$1:$E$504,L142),"hh:mm"),"")))</f>
        <v/>
      </c>
      <c r="C142" s="49">
        <f>IF(M142=0,"",IF(M142&lt;&gt;M141,INDEX(Escaleta!$F$1:$F$504,M142),IF(M142&lt;&gt;M140,TEXT(INDEX(Escaleta!$C$1:$C$504,M142),"hh:mm")&amp;"–"&amp;TEXT(INDEX(Escaleta!$E$1:$E$504,M142),"hh:mm"),"")))</f>
        <v/>
      </c>
      <c r="D142" s="49">
        <f>IF(N142=0,"",IF(N142&lt;&gt;N141,INDEX(Escaleta!$F$1:$F$504,N142),IF(N142&lt;&gt;N140,TEXT(INDEX(Escaleta!$C$1:$C$504,N142),"hh:mm")&amp;"–"&amp;TEXT(INDEX(Escaleta!$E$1:$E$504,N142),"hh:mm"),"")))</f>
        <v/>
      </c>
      <c r="E142" s="49">
        <f>IF(O142=0,"",IF(O142&lt;&gt;O141,INDEX(Escaleta!$F$1:$F$504,O142),IF(O142&lt;&gt;O140,TEXT(INDEX(Escaleta!$C$1:$C$504,O142),"hh:mm")&amp;"–"&amp;TEXT(INDEX(Escaleta!$E$1:$E$504,O142),"hh:mm"),"")))</f>
        <v/>
      </c>
      <c r="F142" s="49">
        <f>IF(P142=0,"",IF(P142&lt;&gt;P141,INDEX(Escaleta!$F$1:$F$504,P142),IF(P142&lt;&gt;P140,TEXT(INDEX(Escaleta!$C$1:$C$504,P142),"hh:mm")&amp;"–"&amp;TEXT(INDEX(Escaleta!$E$1:$E$504,P142),"hh:mm"),"")))</f>
        <v/>
      </c>
      <c r="G142" s="49">
        <f>IF(Q142=0,"",IF(Q142&lt;&gt;Q141,INDEX(Escaleta!$F$1:$F$504,Q142),IF(Q142&lt;&gt;Q140,TEXT(INDEX(Escaleta!$C$1:$C$504,Q142),"hh:mm")&amp;"–"&amp;TEXT(INDEX(Escaleta!$E$1:$E$504,Q142),"hh:mm"),"")))</f>
        <v/>
      </c>
      <c r="H142" s="49">
        <f>IF(R142=0,"",IF(R142&lt;&gt;R141,INDEX(Escaleta!$F$1:$F$504,R142),IF(R142&lt;&gt;R140,TEXT(INDEX(Escaleta!$C$1:$C$504,R142),"hh:mm")&amp;"–"&amp;TEXT(INDEX(Escaleta!$E$1:$E$504,R142),"hh:mm"),"")))</f>
        <v/>
      </c>
      <c r="I142" s="49">
        <f>IF(S142=0,"",IF(S142&lt;&gt;S141,INDEX(Escaleta!$F$1:$F$504,S142),IF(S142&lt;&gt;S140,TEXT(INDEX(Escaleta!$C$1:$C$504,S142),"hh:mm")&amp;"–"&amp;TEXT(INDEX(Escaleta!$E$1:$E$504,S142),"hh:mm"),"")))</f>
        <v/>
      </c>
      <c r="L142" s="50">
        <f>IF(OR($A142="",B$6=""),0,SUMPRODUCT(MAX((Escaleta!$A$5:$A$504=$B$4)*(Escaleta!$H$5:$H$504=B$6)*(Escaleta!$K$5:$K$504&lt;&gt;"Cancelada")*(Escaleta!$C$5:$C$504&lt;$A142+Configuración!$C$7/1440)*(Escaleta!$E$5:$E$504&gt;$A142)*ROW(Escaleta!$A$5:$A$504))))</f>
        <v/>
      </c>
      <c r="M142" s="50">
        <f>IF(OR($A142="",C$6=""),0,SUMPRODUCT(MAX((Escaleta!$A$5:$A$504=$B$4)*(Escaleta!$H$5:$H$504=C$6)*(Escaleta!$K$5:$K$504&lt;&gt;"Cancelada")*(Escaleta!$C$5:$C$504&lt;$A142+Configuración!$C$7/1440)*(Escaleta!$E$5:$E$504&gt;$A142)*ROW(Escaleta!$A$5:$A$504))))</f>
        <v/>
      </c>
      <c r="N142" s="50">
        <f>IF(OR($A142="",D$6=""),0,SUMPRODUCT(MAX((Escaleta!$A$5:$A$504=$B$4)*(Escaleta!$H$5:$H$504=D$6)*(Escaleta!$K$5:$K$504&lt;&gt;"Cancelada")*(Escaleta!$C$5:$C$504&lt;$A142+Configuración!$C$7/1440)*(Escaleta!$E$5:$E$504&gt;$A142)*ROW(Escaleta!$A$5:$A$504))))</f>
        <v/>
      </c>
      <c r="O142" s="50">
        <f>IF(OR($A142="",E$6=""),0,SUMPRODUCT(MAX((Escaleta!$A$5:$A$504=$B$4)*(Escaleta!$H$5:$H$504=E$6)*(Escaleta!$K$5:$K$504&lt;&gt;"Cancelada")*(Escaleta!$C$5:$C$504&lt;$A142+Configuración!$C$7/1440)*(Escaleta!$E$5:$E$504&gt;$A142)*ROW(Escaleta!$A$5:$A$504))))</f>
        <v/>
      </c>
      <c r="P142" s="50">
        <f>IF(OR($A142="",F$6=""),0,SUMPRODUCT(MAX((Escaleta!$A$5:$A$504=$B$4)*(Escaleta!$H$5:$H$504=F$6)*(Escaleta!$K$5:$K$504&lt;&gt;"Cancelada")*(Escaleta!$C$5:$C$504&lt;$A142+Configuración!$C$7/1440)*(Escaleta!$E$5:$E$504&gt;$A142)*ROW(Escaleta!$A$5:$A$504))))</f>
        <v/>
      </c>
      <c r="Q142" s="50">
        <f>IF(OR($A142="",G$6=""),0,SUMPRODUCT(MAX((Escaleta!$A$5:$A$504=$B$4)*(Escaleta!$H$5:$H$504=G$6)*(Escaleta!$K$5:$K$504&lt;&gt;"Cancelada")*(Escaleta!$C$5:$C$504&lt;$A142+Configuración!$C$7/1440)*(Escaleta!$E$5:$E$504&gt;$A142)*ROW(Escaleta!$A$5:$A$504))))</f>
        <v/>
      </c>
      <c r="R142" s="50">
        <f>IF(OR($A142="",H$6=""),0,SUMPRODUCT(MAX((Escaleta!$A$5:$A$504=$B$4)*(Escaleta!$H$5:$H$504=H$6)*(Escaleta!$K$5:$K$504&lt;&gt;"Cancelada")*(Escaleta!$C$5:$C$504&lt;$A142+Configuración!$C$7/1440)*(Escaleta!$E$5:$E$504&gt;$A142)*ROW(Escaleta!$A$5:$A$504))))</f>
        <v/>
      </c>
      <c r="S142" s="50">
        <f>IF(OR($A142="",I$6=""),0,SUMPRODUCT(MAX((Escaleta!$A$5:$A$504=$B$4)*(Escaleta!$H$5:$H$504=I$6)*(Escaleta!$K$5:$K$504&lt;&gt;"Cancelada")*(Escaleta!$C$5:$C$504&lt;$A142+Configuración!$C$7/1440)*(Escaleta!$E$5:$E$504&gt;$A142)*ROW(Escaleta!$A$5:$A$504))))</f>
        <v/>
      </c>
      <c r="U142" s="50">
        <f>IF(L142=0,"",INDEX(Escaleta!$I$1:$I$504,L142))</f>
        <v/>
      </c>
      <c r="V142" s="50">
        <f>IF(M142=0,"",INDEX(Escaleta!$I$1:$I$504,M142))</f>
        <v/>
      </c>
      <c r="W142" s="50">
        <f>IF(N142=0,"",INDEX(Escaleta!$I$1:$I$504,N142))</f>
        <v/>
      </c>
      <c r="X142" s="50">
        <f>IF(O142=0,"",INDEX(Escaleta!$I$1:$I$504,O142))</f>
        <v/>
      </c>
      <c r="Y142" s="50">
        <f>IF(P142=0,"",INDEX(Escaleta!$I$1:$I$504,P142))</f>
        <v/>
      </c>
      <c r="Z142" s="50">
        <f>IF(Q142=0,"",INDEX(Escaleta!$I$1:$I$504,Q142))</f>
        <v/>
      </c>
      <c r="AA142" s="50">
        <f>IF(R142=0,"",INDEX(Escaleta!$I$1:$I$504,R142))</f>
        <v/>
      </c>
      <c r="AB142" s="50">
        <f>IF(S142=0,"",INDEX(Escaleta!$I$1:$I$504,S142))</f>
        <v/>
      </c>
    </row>
    <row r="143" ht="18" customHeight="1">
      <c r="A143" s="48">
        <f>IF(A142="","",IF(A142+Configuración!$C$7/1440&gt;Configuración!$C$6-0.0001,"",A142+Configuración!$C$7/1440))</f>
        <v/>
      </c>
      <c r="B143" s="49">
        <f>IF(L143=0,"",IF(L143&lt;&gt;L142,INDEX(Escaleta!$F$1:$F$504,L143),IF(L143&lt;&gt;L141,TEXT(INDEX(Escaleta!$C$1:$C$504,L143),"hh:mm")&amp;"–"&amp;TEXT(INDEX(Escaleta!$E$1:$E$504,L143),"hh:mm"),"")))</f>
        <v/>
      </c>
      <c r="C143" s="49">
        <f>IF(M143=0,"",IF(M143&lt;&gt;M142,INDEX(Escaleta!$F$1:$F$504,M143),IF(M143&lt;&gt;M141,TEXT(INDEX(Escaleta!$C$1:$C$504,M143),"hh:mm")&amp;"–"&amp;TEXT(INDEX(Escaleta!$E$1:$E$504,M143),"hh:mm"),"")))</f>
        <v/>
      </c>
      <c r="D143" s="49">
        <f>IF(N143=0,"",IF(N143&lt;&gt;N142,INDEX(Escaleta!$F$1:$F$504,N143),IF(N143&lt;&gt;N141,TEXT(INDEX(Escaleta!$C$1:$C$504,N143),"hh:mm")&amp;"–"&amp;TEXT(INDEX(Escaleta!$E$1:$E$504,N143),"hh:mm"),"")))</f>
        <v/>
      </c>
      <c r="E143" s="49">
        <f>IF(O143=0,"",IF(O143&lt;&gt;O142,INDEX(Escaleta!$F$1:$F$504,O143),IF(O143&lt;&gt;O141,TEXT(INDEX(Escaleta!$C$1:$C$504,O143),"hh:mm")&amp;"–"&amp;TEXT(INDEX(Escaleta!$E$1:$E$504,O143),"hh:mm"),"")))</f>
        <v/>
      </c>
      <c r="F143" s="49">
        <f>IF(P143=0,"",IF(P143&lt;&gt;P142,INDEX(Escaleta!$F$1:$F$504,P143),IF(P143&lt;&gt;P141,TEXT(INDEX(Escaleta!$C$1:$C$504,P143),"hh:mm")&amp;"–"&amp;TEXT(INDEX(Escaleta!$E$1:$E$504,P143),"hh:mm"),"")))</f>
        <v/>
      </c>
      <c r="G143" s="49">
        <f>IF(Q143=0,"",IF(Q143&lt;&gt;Q142,INDEX(Escaleta!$F$1:$F$504,Q143),IF(Q143&lt;&gt;Q141,TEXT(INDEX(Escaleta!$C$1:$C$504,Q143),"hh:mm")&amp;"–"&amp;TEXT(INDEX(Escaleta!$E$1:$E$504,Q143),"hh:mm"),"")))</f>
        <v/>
      </c>
      <c r="H143" s="49">
        <f>IF(R143=0,"",IF(R143&lt;&gt;R142,INDEX(Escaleta!$F$1:$F$504,R143),IF(R143&lt;&gt;R141,TEXT(INDEX(Escaleta!$C$1:$C$504,R143),"hh:mm")&amp;"–"&amp;TEXT(INDEX(Escaleta!$E$1:$E$504,R143),"hh:mm"),"")))</f>
        <v/>
      </c>
      <c r="I143" s="49">
        <f>IF(S143=0,"",IF(S143&lt;&gt;S142,INDEX(Escaleta!$F$1:$F$504,S143),IF(S143&lt;&gt;S141,TEXT(INDEX(Escaleta!$C$1:$C$504,S143),"hh:mm")&amp;"–"&amp;TEXT(INDEX(Escaleta!$E$1:$E$504,S143),"hh:mm"),"")))</f>
        <v/>
      </c>
      <c r="L143" s="50">
        <f>IF(OR($A143="",B$6=""),0,SUMPRODUCT(MAX((Escaleta!$A$5:$A$504=$B$4)*(Escaleta!$H$5:$H$504=B$6)*(Escaleta!$K$5:$K$504&lt;&gt;"Cancelada")*(Escaleta!$C$5:$C$504&lt;$A143+Configuración!$C$7/1440)*(Escaleta!$E$5:$E$504&gt;$A143)*ROW(Escaleta!$A$5:$A$504))))</f>
        <v/>
      </c>
      <c r="M143" s="50">
        <f>IF(OR($A143="",C$6=""),0,SUMPRODUCT(MAX((Escaleta!$A$5:$A$504=$B$4)*(Escaleta!$H$5:$H$504=C$6)*(Escaleta!$K$5:$K$504&lt;&gt;"Cancelada")*(Escaleta!$C$5:$C$504&lt;$A143+Configuración!$C$7/1440)*(Escaleta!$E$5:$E$504&gt;$A143)*ROW(Escaleta!$A$5:$A$504))))</f>
        <v/>
      </c>
      <c r="N143" s="50">
        <f>IF(OR($A143="",D$6=""),0,SUMPRODUCT(MAX((Escaleta!$A$5:$A$504=$B$4)*(Escaleta!$H$5:$H$504=D$6)*(Escaleta!$K$5:$K$504&lt;&gt;"Cancelada")*(Escaleta!$C$5:$C$504&lt;$A143+Configuración!$C$7/1440)*(Escaleta!$E$5:$E$504&gt;$A143)*ROW(Escaleta!$A$5:$A$504))))</f>
        <v/>
      </c>
      <c r="O143" s="50">
        <f>IF(OR($A143="",E$6=""),0,SUMPRODUCT(MAX((Escaleta!$A$5:$A$504=$B$4)*(Escaleta!$H$5:$H$504=E$6)*(Escaleta!$K$5:$K$504&lt;&gt;"Cancelada")*(Escaleta!$C$5:$C$504&lt;$A143+Configuración!$C$7/1440)*(Escaleta!$E$5:$E$504&gt;$A143)*ROW(Escaleta!$A$5:$A$504))))</f>
        <v/>
      </c>
      <c r="P143" s="50">
        <f>IF(OR($A143="",F$6=""),0,SUMPRODUCT(MAX((Escaleta!$A$5:$A$504=$B$4)*(Escaleta!$H$5:$H$504=F$6)*(Escaleta!$K$5:$K$504&lt;&gt;"Cancelada")*(Escaleta!$C$5:$C$504&lt;$A143+Configuración!$C$7/1440)*(Escaleta!$E$5:$E$504&gt;$A143)*ROW(Escaleta!$A$5:$A$504))))</f>
        <v/>
      </c>
      <c r="Q143" s="50">
        <f>IF(OR($A143="",G$6=""),0,SUMPRODUCT(MAX((Escaleta!$A$5:$A$504=$B$4)*(Escaleta!$H$5:$H$504=G$6)*(Escaleta!$K$5:$K$504&lt;&gt;"Cancelada")*(Escaleta!$C$5:$C$504&lt;$A143+Configuración!$C$7/1440)*(Escaleta!$E$5:$E$504&gt;$A143)*ROW(Escaleta!$A$5:$A$504))))</f>
        <v/>
      </c>
      <c r="R143" s="50">
        <f>IF(OR($A143="",H$6=""),0,SUMPRODUCT(MAX((Escaleta!$A$5:$A$504=$B$4)*(Escaleta!$H$5:$H$504=H$6)*(Escaleta!$K$5:$K$504&lt;&gt;"Cancelada")*(Escaleta!$C$5:$C$504&lt;$A143+Configuración!$C$7/1440)*(Escaleta!$E$5:$E$504&gt;$A143)*ROW(Escaleta!$A$5:$A$504))))</f>
        <v/>
      </c>
      <c r="S143" s="50">
        <f>IF(OR($A143="",I$6=""),0,SUMPRODUCT(MAX((Escaleta!$A$5:$A$504=$B$4)*(Escaleta!$H$5:$H$504=I$6)*(Escaleta!$K$5:$K$504&lt;&gt;"Cancelada")*(Escaleta!$C$5:$C$504&lt;$A143+Configuración!$C$7/1440)*(Escaleta!$E$5:$E$504&gt;$A143)*ROW(Escaleta!$A$5:$A$504))))</f>
        <v/>
      </c>
      <c r="U143" s="50">
        <f>IF(L143=0,"",INDEX(Escaleta!$I$1:$I$504,L143))</f>
        <v/>
      </c>
      <c r="V143" s="50">
        <f>IF(M143=0,"",INDEX(Escaleta!$I$1:$I$504,M143))</f>
        <v/>
      </c>
      <c r="W143" s="50">
        <f>IF(N143=0,"",INDEX(Escaleta!$I$1:$I$504,N143))</f>
        <v/>
      </c>
      <c r="X143" s="50">
        <f>IF(O143=0,"",INDEX(Escaleta!$I$1:$I$504,O143))</f>
        <v/>
      </c>
      <c r="Y143" s="50">
        <f>IF(P143=0,"",INDEX(Escaleta!$I$1:$I$504,P143))</f>
        <v/>
      </c>
      <c r="Z143" s="50">
        <f>IF(Q143=0,"",INDEX(Escaleta!$I$1:$I$504,Q143))</f>
        <v/>
      </c>
      <c r="AA143" s="50">
        <f>IF(R143=0,"",INDEX(Escaleta!$I$1:$I$504,R143))</f>
        <v/>
      </c>
      <c r="AB143" s="50">
        <f>IF(S143=0,"",INDEX(Escaleta!$I$1:$I$504,S143))</f>
        <v/>
      </c>
    </row>
    <row r="144" ht="18" customHeight="1">
      <c r="A144" s="48">
        <f>IF(A143="","",IF(A143+Configuración!$C$7/1440&gt;Configuración!$C$6-0.0001,"",A143+Configuración!$C$7/1440))</f>
        <v/>
      </c>
      <c r="B144" s="49">
        <f>IF(L144=0,"",IF(L144&lt;&gt;L143,INDEX(Escaleta!$F$1:$F$504,L144),IF(L144&lt;&gt;L142,TEXT(INDEX(Escaleta!$C$1:$C$504,L144),"hh:mm")&amp;"–"&amp;TEXT(INDEX(Escaleta!$E$1:$E$504,L144),"hh:mm"),"")))</f>
        <v/>
      </c>
      <c r="C144" s="49">
        <f>IF(M144=0,"",IF(M144&lt;&gt;M143,INDEX(Escaleta!$F$1:$F$504,M144),IF(M144&lt;&gt;M142,TEXT(INDEX(Escaleta!$C$1:$C$504,M144),"hh:mm")&amp;"–"&amp;TEXT(INDEX(Escaleta!$E$1:$E$504,M144),"hh:mm"),"")))</f>
        <v/>
      </c>
      <c r="D144" s="49">
        <f>IF(N144=0,"",IF(N144&lt;&gt;N143,INDEX(Escaleta!$F$1:$F$504,N144),IF(N144&lt;&gt;N142,TEXT(INDEX(Escaleta!$C$1:$C$504,N144),"hh:mm")&amp;"–"&amp;TEXT(INDEX(Escaleta!$E$1:$E$504,N144),"hh:mm"),"")))</f>
        <v/>
      </c>
      <c r="E144" s="49">
        <f>IF(O144=0,"",IF(O144&lt;&gt;O143,INDEX(Escaleta!$F$1:$F$504,O144),IF(O144&lt;&gt;O142,TEXT(INDEX(Escaleta!$C$1:$C$504,O144),"hh:mm")&amp;"–"&amp;TEXT(INDEX(Escaleta!$E$1:$E$504,O144),"hh:mm"),"")))</f>
        <v/>
      </c>
      <c r="F144" s="49">
        <f>IF(P144=0,"",IF(P144&lt;&gt;P143,INDEX(Escaleta!$F$1:$F$504,P144),IF(P144&lt;&gt;P142,TEXT(INDEX(Escaleta!$C$1:$C$504,P144),"hh:mm")&amp;"–"&amp;TEXT(INDEX(Escaleta!$E$1:$E$504,P144),"hh:mm"),"")))</f>
        <v/>
      </c>
      <c r="G144" s="49">
        <f>IF(Q144=0,"",IF(Q144&lt;&gt;Q143,INDEX(Escaleta!$F$1:$F$504,Q144),IF(Q144&lt;&gt;Q142,TEXT(INDEX(Escaleta!$C$1:$C$504,Q144),"hh:mm")&amp;"–"&amp;TEXT(INDEX(Escaleta!$E$1:$E$504,Q144),"hh:mm"),"")))</f>
        <v/>
      </c>
      <c r="H144" s="49">
        <f>IF(R144=0,"",IF(R144&lt;&gt;R143,INDEX(Escaleta!$F$1:$F$504,R144),IF(R144&lt;&gt;R142,TEXT(INDEX(Escaleta!$C$1:$C$504,R144),"hh:mm")&amp;"–"&amp;TEXT(INDEX(Escaleta!$E$1:$E$504,R144),"hh:mm"),"")))</f>
        <v/>
      </c>
      <c r="I144" s="49">
        <f>IF(S144=0,"",IF(S144&lt;&gt;S143,INDEX(Escaleta!$F$1:$F$504,S144),IF(S144&lt;&gt;S142,TEXT(INDEX(Escaleta!$C$1:$C$504,S144),"hh:mm")&amp;"–"&amp;TEXT(INDEX(Escaleta!$E$1:$E$504,S144),"hh:mm"),"")))</f>
        <v/>
      </c>
      <c r="L144" s="50">
        <f>IF(OR($A144="",B$6=""),0,SUMPRODUCT(MAX((Escaleta!$A$5:$A$504=$B$4)*(Escaleta!$H$5:$H$504=B$6)*(Escaleta!$K$5:$K$504&lt;&gt;"Cancelada")*(Escaleta!$C$5:$C$504&lt;$A144+Configuración!$C$7/1440)*(Escaleta!$E$5:$E$504&gt;$A144)*ROW(Escaleta!$A$5:$A$504))))</f>
        <v/>
      </c>
      <c r="M144" s="50">
        <f>IF(OR($A144="",C$6=""),0,SUMPRODUCT(MAX((Escaleta!$A$5:$A$504=$B$4)*(Escaleta!$H$5:$H$504=C$6)*(Escaleta!$K$5:$K$504&lt;&gt;"Cancelada")*(Escaleta!$C$5:$C$504&lt;$A144+Configuración!$C$7/1440)*(Escaleta!$E$5:$E$504&gt;$A144)*ROW(Escaleta!$A$5:$A$504))))</f>
        <v/>
      </c>
      <c r="N144" s="50">
        <f>IF(OR($A144="",D$6=""),0,SUMPRODUCT(MAX((Escaleta!$A$5:$A$504=$B$4)*(Escaleta!$H$5:$H$504=D$6)*(Escaleta!$K$5:$K$504&lt;&gt;"Cancelada")*(Escaleta!$C$5:$C$504&lt;$A144+Configuración!$C$7/1440)*(Escaleta!$E$5:$E$504&gt;$A144)*ROW(Escaleta!$A$5:$A$504))))</f>
        <v/>
      </c>
      <c r="O144" s="50">
        <f>IF(OR($A144="",E$6=""),0,SUMPRODUCT(MAX((Escaleta!$A$5:$A$504=$B$4)*(Escaleta!$H$5:$H$504=E$6)*(Escaleta!$K$5:$K$504&lt;&gt;"Cancelada")*(Escaleta!$C$5:$C$504&lt;$A144+Configuración!$C$7/1440)*(Escaleta!$E$5:$E$504&gt;$A144)*ROW(Escaleta!$A$5:$A$504))))</f>
        <v/>
      </c>
      <c r="P144" s="50">
        <f>IF(OR($A144="",F$6=""),0,SUMPRODUCT(MAX((Escaleta!$A$5:$A$504=$B$4)*(Escaleta!$H$5:$H$504=F$6)*(Escaleta!$K$5:$K$504&lt;&gt;"Cancelada")*(Escaleta!$C$5:$C$504&lt;$A144+Configuración!$C$7/1440)*(Escaleta!$E$5:$E$504&gt;$A144)*ROW(Escaleta!$A$5:$A$504))))</f>
        <v/>
      </c>
      <c r="Q144" s="50">
        <f>IF(OR($A144="",G$6=""),0,SUMPRODUCT(MAX((Escaleta!$A$5:$A$504=$B$4)*(Escaleta!$H$5:$H$504=G$6)*(Escaleta!$K$5:$K$504&lt;&gt;"Cancelada")*(Escaleta!$C$5:$C$504&lt;$A144+Configuración!$C$7/1440)*(Escaleta!$E$5:$E$504&gt;$A144)*ROW(Escaleta!$A$5:$A$504))))</f>
        <v/>
      </c>
      <c r="R144" s="50">
        <f>IF(OR($A144="",H$6=""),0,SUMPRODUCT(MAX((Escaleta!$A$5:$A$504=$B$4)*(Escaleta!$H$5:$H$504=H$6)*(Escaleta!$K$5:$K$504&lt;&gt;"Cancelada")*(Escaleta!$C$5:$C$504&lt;$A144+Configuración!$C$7/1440)*(Escaleta!$E$5:$E$504&gt;$A144)*ROW(Escaleta!$A$5:$A$504))))</f>
        <v/>
      </c>
      <c r="S144" s="50">
        <f>IF(OR($A144="",I$6=""),0,SUMPRODUCT(MAX((Escaleta!$A$5:$A$504=$B$4)*(Escaleta!$H$5:$H$504=I$6)*(Escaleta!$K$5:$K$504&lt;&gt;"Cancelada")*(Escaleta!$C$5:$C$504&lt;$A144+Configuración!$C$7/1440)*(Escaleta!$E$5:$E$504&gt;$A144)*ROW(Escaleta!$A$5:$A$504))))</f>
        <v/>
      </c>
      <c r="U144" s="50">
        <f>IF(L144=0,"",INDEX(Escaleta!$I$1:$I$504,L144))</f>
        <v/>
      </c>
      <c r="V144" s="50">
        <f>IF(M144=0,"",INDEX(Escaleta!$I$1:$I$504,M144))</f>
        <v/>
      </c>
      <c r="W144" s="50">
        <f>IF(N144=0,"",INDEX(Escaleta!$I$1:$I$504,N144))</f>
        <v/>
      </c>
      <c r="X144" s="50">
        <f>IF(O144=0,"",INDEX(Escaleta!$I$1:$I$504,O144))</f>
        <v/>
      </c>
      <c r="Y144" s="50">
        <f>IF(P144=0,"",INDEX(Escaleta!$I$1:$I$504,P144))</f>
        <v/>
      </c>
      <c r="Z144" s="50">
        <f>IF(Q144=0,"",INDEX(Escaleta!$I$1:$I$504,Q144))</f>
        <v/>
      </c>
      <c r="AA144" s="50">
        <f>IF(R144=0,"",INDEX(Escaleta!$I$1:$I$504,R144))</f>
        <v/>
      </c>
      <c r="AB144" s="50">
        <f>IF(S144=0,"",INDEX(Escaleta!$I$1:$I$504,S144))</f>
        <v/>
      </c>
    </row>
    <row r="145" ht="18" customHeight="1">
      <c r="A145" s="48">
        <f>IF(A144="","",IF(A144+Configuración!$C$7/1440&gt;Configuración!$C$6-0.0001,"",A144+Configuración!$C$7/1440))</f>
        <v/>
      </c>
      <c r="B145" s="49">
        <f>IF(L145=0,"",IF(L145&lt;&gt;L144,INDEX(Escaleta!$F$1:$F$504,L145),IF(L145&lt;&gt;L143,TEXT(INDEX(Escaleta!$C$1:$C$504,L145),"hh:mm")&amp;"–"&amp;TEXT(INDEX(Escaleta!$E$1:$E$504,L145),"hh:mm"),"")))</f>
        <v/>
      </c>
      <c r="C145" s="49">
        <f>IF(M145=0,"",IF(M145&lt;&gt;M144,INDEX(Escaleta!$F$1:$F$504,M145),IF(M145&lt;&gt;M143,TEXT(INDEX(Escaleta!$C$1:$C$504,M145),"hh:mm")&amp;"–"&amp;TEXT(INDEX(Escaleta!$E$1:$E$504,M145),"hh:mm"),"")))</f>
        <v/>
      </c>
      <c r="D145" s="49">
        <f>IF(N145=0,"",IF(N145&lt;&gt;N144,INDEX(Escaleta!$F$1:$F$504,N145),IF(N145&lt;&gt;N143,TEXT(INDEX(Escaleta!$C$1:$C$504,N145),"hh:mm")&amp;"–"&amp;TEXT(INDEX(Escaleta!$E$1:$E$504,N145),"hh:mm"),"")))</f>
        <v/>
      </c>
      <c r="E145" s="49">
        <f>IF(O145=0,"",IF(O145&lt;&gt;O144,INDEX(Escaleta!$F$1:$F$504,O145),IF(O145&lt;&gt;O143,TEXT(INDEX(Escaleta!$C$1:$C$504,O145),"hh:mm")&amp;"–"&amp;TEXT(INDEX(Escaleta!$E$1:$E$504,O145),"hh:mm"),"")))</f>
        <v/>
      </c>
      <c r="F145" s="49">
        <f>IF(P145=0,"",IF(P145&lt;&gt;P144,INDEX(Escaleta!$F$1:$F$504,P145),IF(P145&lt;&gt;P143,TEXT(INDEX(Escaleta!$C$1:$C$504,P145),"hh:mm")&amp;"–"&amp;TEXT(INDEX(Escaleta!$E$1:$E$504,P145),"hh:mm"),"")))</f>
        <v/>
      </c>
      <c r="G145" s="49">
        <f>IF(Q145=0,"",IF(Q145&lt;&gt;Q144,INDEX(Escaleta!$F$1:$F$504,Q145),IF(Q145&lt;&gt;Q143,TEXT(INDEX(Escaleta!$C$1:$C$504,Q145),"hh:mm")&amp;"–"&amp;TEXT(INDEX(Escaleta!$E$1:$E$504,Q145),"hh:mm"),"")))</f>
        <v/>
      </c>
      <c r="H145" s="49">
        <f>IF(R145=0,"",IF(R145&lt;&gt;R144,INDEX(Escaleta!$F$1:$F$504,R145),IF(R145&lt;&gt;R143,TEXT(INDEX(Escaleta!$C$1:$C$504,R145),"hh:mm")&amp;"–"&amp;TEXT(INDEX(Escaleta!$E$1:$E$504,R145),"hh:mm"),"")))</f>
        <v/>
      </c>
      <c r="I145" s="49">
        <f>IF(S145=0,"",IF(S145&lt;&gt;S144,INDEX(Escaleta!$F$1:$F$504,S145),IF(S145&lt;&gt;S143,TEXT(INDEX(Escaleta!$C$1:$C$504,S145),"hh:mm")&amp;"–"&amp;TEXT(INDEX(Escaleta!$E$1:$E$504,S145),"hh:mm"),"")))</f>
        <v/>
      </c>
      <c r="L145" s="50">
        <f>IF(OR($A145="",B$6=""),0,SUMPRODUCT(MAX((Escaleta!$A$5:$A$504=$B$4)*(Escaleta!$H$5:$H$504=B$6)*(Escaleta!$K$5:$K$504&lt;&gt;"Cancelada")*(Escaleta!$C$5:$C$504&lt;$A145+Configuración!$C$7/1440)*(Escaleta!$E$5:$E$504&gt;$A145)*ROW(Escaleta!$A$5:$A$504))))</f>
        <v/>
      </c>
      <c r="M145" s="50">
        <f>IF(OR($A145="",C$6=""),0,SUMPRODUCT(MAX((Escaleta!$A$5:$A$504=$B$4)*(Escaleta!$H$5:$H$504=C$6)*(Escaleta!$K$5:$K$504&lt;&gt;"Cancelada")*(Escaleta!$C$5:$C$504&lt;$A145+Configuración!$C$7/1440)*(Escaleta!$E$5:$E$504&gt;$A145)*ROW(Escaleta!$A$5:$A$504))))</f>
        <v/>
      </c>
      <c r="N145" s="50">
        <f>IF(OR($A145="",D$6=""),0,SUMPRODUCT(MAX((Escaleta!$A$5:$A$504=$B$4)*(Escaleta!$H$5:$H$504=D$6)*(Escaleta!$K$5:$K$504&lt;&gt;"Cancelada")*(Escaleta!$C$5:$C$504&lt;$A145+Configuración!$C$7/1440)*(Escaleta!$E$5:$E$504&gt;$A145)*ROW(Escaleta!$A$5:$A$504))))</f>
        <v/>
      </c>
      <c r="O145" s="50">
        <f>IF(OR($A145="",E$6=""),0,SUMPRODUCT(MAX((Escaleta!$A$5:$A$504=$B$4)*(Escaleta!$H$5:$H$504=E$6)*(Escaleta!$K$5:$K$504&lt;&gt;"Cancelada")*(Escaleta!$C$5:$C$504&lt;$A145+Configuración!$C$7/1440)*(Escaleta!$E$5:$E$504&gt;$A145)*ROW(Escaleta!$A$5:$A$504))))</f>
        <v/>
      </c>
      <c r="P145" s="50">
        <f>IF(OR($A145="",F$6=""),0,SUMPRODUCT(MAX((Escaleta!$A$5:$A$504=$B$4)*(Escaleta!$H$5:$H$504=F$6)*(Escaleta!$K$5:$K$504&lt;&gt;"Cancelada")*(Escaleta!$C$5:$C$504&lt;$A145+Configuración!$C$7/1440)*(Escaleta!$E$5:$E$504&gt;$A145)*ROW(Escaleta!$A$5:$A$504))))</f>
        <v/>
      </c>
      <c r="Q145" s="50">
        <f>IF(OR($A145="",G$6=""),0,SUMPRODUCT(MAX((Escaleta!$A$5:$A$504=$B$4)*(Escaleta!$H$5:$H$504=G$6)*(Escaleta!$K$5:$K$504&lt;&gt;"Cancelada")*(Escaleta!$C$5:$C$504&lt;$A145+Configuración!$C$7/1440)*(Escaleta!$E$5:$E$504&gt;$A145)*ROW(Escaleta!$A$5:$A$504))))</f>
        <v/>
      </c>
      <c r="R145" s="50">
        <f>IF(OR($A145="",H$6=""),0,SUMPRODUCT(MAX((Escaleta!$A$5:$A$504=$B$4)*(Escaleta!$H$5:$H$504=H$6)*(Escaleta!$K$5:$K$504&lt;&gt;"Cancelada")*(Escaleta!$C$5:$C$504&lt;$A145+Configuración!$C$7/1440)*(Escaleta!$E$5:$E$504&gt;$A145)*ROW(Escaleta!$A$5:$A$504))))</f>
        <v/>
      </c>
      <c r="S145" s="50">
        <f>IF(OR($A145="",I$6=""),0,SUMPRODUCT(MAX((Escaleta!$A$5:$A$504=$B$4)*(Escaleta!$H$5:$H$504=I$6)*(Escaleta!$K$5:$K$504&lt;&gt;"Cancelada")*(Escaleta!$C$5:$C$504&lt;$A145+Configuración!$C$7/1440)*(Escaleta!$E$5:$E$504&gt;$A145)*ROW(Escaleta!$A$5:$A$504))))</f>
        <v/>
      </c>
      <c r="U145" s="50">
        <f>IF(L145=0,"",INDEX(Escaleta!$I$1:$I$504,L145))</f>
        <v/>
      </c>
      <c r="V145" s="50">
        <f>IF(M145=0,"",INDEX(Escaleta!$I$1:$I$504,M145))</f>
        <v/>
      </c>
      <c r="W145" s="50">
        <f>IF(N145=0,"",INDEX(Escaleta!$I$1:$I$504,N145))</f>
        <v/>
      </c>
      <c r="X145" s="50">
        <f>IF(O145=0,"",INDEX(Escaleta!$I$1:$I$504,O145))</f>
        <v/>
      </c>
      <c r="Y145" s="50">
        <f>IF(P145=0,"",INDEX(Escaleta!$I$1:$I$504,P145))</f>
        <v/>
      </c>
      <c r="Z145" s="50">
        <f>IF(Q145=0,"",INDEX(Escaleta!$I$1:$I$504,Q145))</f>
        <v/>
      </c>
      <c r="AA145" s="50">
        <f>IF(R145=0,"",INDEX(Escaleta!$I$1:$I$504,R145))</f>
        <v/>
      </c>
      <c r="AB145" s="50">
        <f>IF(S145=0,"",INDEX(Escaleta!$I$1:$I$504,S145))</f>
        <v/>
      </c>
    </row>
    <row r="146" ht="18" customHeight="1">
      <c r="A146" s="48">
        <f>IF(A145="","",IF(A145+Configuración!$C$7/1440&gt;Configuración!$C$6-0.0001,"",A145+Configuración!$C$7/1440))</f>
        <v/>
      </c>
      <c r="B146" s="49">
        <f>IF(L146=0,"",IF(L146&lt;&gt;L145,INDEX(Escaleta!$F$1:$F$504,L146),IF(L146&lt;&gt;L144,TEXT(INDEX(Escaleta!$C$1:$C$504,L146),"hh:mm")&amp;"–"&amp;TEXT(INDEX(Escaleta!$E$1:$E$504,L146),"hh:mm"),"")))</f>
        <v/>
      </c>
      <c r="C146" s="49">
        <f>IF(M146=0,"",IF(M146&lt;&gt;M145,INDEX(Escaleta!$F$1:$F$504,M146),IF(M146&lt;&gt;M144,TEXT(INDEX(Escaleta!$C$1:$C$504,M146),"hh:mm")&amp;"–"&amp;TEXT(INDEX(Escaleta!$E$1:$E$504,M146),"hh:mm"),"")))</f>
        <v/>
      </c>
      <c r="D146" s="49">
        <f>IF(N146=0,"",IF(N146&lt;&gt;N145,INDEX(Escaleta!$F$1:$F$504,N146),IF(N146&lt;&gt;N144,TEXT(INDEX(Escaleta!$C$1:$C$504,N146),"hh:mm")&amp;"–"&amp;TEXT(INDEX(Escaleta!$E$1:$E$504,N146),"hh:mm"),"")))</f>
        <v/>
      </c>
      <c r="E146" s="49">
        <f>IF(O146=0,"",IF(O146&lt;&gt;O145,INDEX(Escaleta!$F$1:$F$504,O146),IF(O146&lt;&gt;O144,TEXT(INDEX(Escaleta!$C$1:$C$504,O146),"hh:mm")&amp;"–"&amp;TEXT(INDEX(Escaleta!$E$1:$E$504,O146),"hh:mm"),"")))</f>
        <v/>
      </c>
      <c r="F146" s="49">
        <f>IF(P146=0,"",IF(P146&lt;&gt;P145,INDEX(Escaleta!$F$1:$F$504,P146),IF(P146&lt;&gt;P144,TEXT(INDEX(Escaleta!$C$1:$C$504,P146),"hh:mm")&amp;"–"&amp;TEXT(INDEX(Escaleta!$E$1:$E$504,P146),"hh:mm"),"")))</f>
        <v/>
      </c>
      <c r="G146" s="49">
        <f>IF(Q146=0,"",IF(Q146&lt;&gt;Q145,INDEX(Escaleta!$F$1:$F$504,Q146),IF(Q146&lt;&gt;Q144,TEXT(INDEX(Escaleta!$C$1:$C$504,Q146),"hh:mm")&amp;"–"&amp;TEXT(INDEX(Escaleta!$E$1:$E$504,Q146),"hh:mm"),"")))</f>
        <v/>
      </c>
      <c r="H146" s="49">
        <f>IF(R146=0,"",IF(R146&lt;&gt;R145,INDEX(Escaleta!$F$1:$F$504,R146),IF(R146&lt;&gt;R144,TEXT(INDEX(Escaleta!$C$1:$C$504,R146),"hh:mm")&amp;"–"&amp;TEXT(INDEX(Escaleta!$E$1:$E$504,R146),"hh:mm"),"")))</f>
        <v/>
      </c>
      <c r="I146" s="49">
        <f>IF(S146=0,"",IF(S146&lt;&gt;S145,INDEX(Escaleta!$F$1:$F$504,S146),IF(S146&lt;&gt;S144,TEXT(INDEX(Escaleta!$C$1:$C$504,S146),"hh:mm")&amp;"–"&amp;TEXT(INDEX(Escaleta!$E$1:$E$504,S146),"hh:mm"),"")))</f>
        <v/>
      </c>
      <c r="L146" s="50">
        <f>IF(OR($A146="",B$6=""),0,SUMPRODUCT(MAX((Escaleta!$A$5:$A$504=$B$4)*(Escaleta!$H$5:$H$504=B$6)*(Escaleta!$K$5:$K$504&lt;&gt;"Cancelada")*(Escaleta!$C$5:$C$504&lt;$A146+Configuración!$C$7/1440)*(Escaleta!$E$5:$E$504&gt;$A146)*ROW(Escaleta!$A$5:$A$504))))</f>
        <v/>
      </c>
      <c r="M146" s="50">
        <f>IF(OR($A146="",C$6=""),0,SUMPRODUCT(MAX((Escaleta!$A$5:$A$504=$B$4)*(Escaleta!$H$5:$H$504=C$6)*(Escaleta!$K$5:$K$504&lt;&gt;"Cancelada")*(Escaleta!$C$5:$C$504&lt;$A146+Configuración!$C$7/1440)*(Escaleta!$E$5:$E$504&gt;$A146)*ROW(Escaleta!$A$5:$A$504))))</f>
        <v/>
      </c>
      <c r="N146" s="50">
        <f>IF(OR($A146="",D$6=""),0,SUMPRODUCT(MAX((Escaleta!$A$5:$A$504=$B$4)*(Escaleta!$H$5:$H$504=D$6)*(Escaleta!$K$5:$K$504&lt;&gt;"Cancelada")*(Escaleta!$C$5:$C$504&lt;$A146+Configuración!$C$7/1440)*(Escaleta!$E$5:$E$504&gt;$A146)*ROW(Escaleta!$A$5:$A$504))))</f>
        <v/>
      </c>
      <c r="O146" s="50">
        <f>IF(OR($A146="",E$6=""),0,SUMPRODUCT(MAX((Escaleta!$A$5:$A$504=$B$4)*(Escaleta!$H$5:$H$504=E$6)*(Escaleta!$K$5:$K$504&lt;&gt;"Cancelada")*(Escaleta!$C$5:$C$504&lt;$A146+Configuración!$C$7/1440)*(Escaleta!$E$5:$E$504&gt;$A146)*ROW(Escaleta!$A$5:$A$504))))</f>
        <v/>
      </c>
      <c r="P146" s="50">
        <f>IF(OR($A146="",F$6=""),0,SUMPRODUCT(MAX((Escaleta!$A$5:$A$504=$B$4)*(Escaleta!$H$5:$H$504=F$6)*(Escaleta!$K$5:$K$504&lt;&gt;"Cancelada")*(Escaleta!$C$5:$C$504&lt;$A146+Configuración!$C$7/1440)*(Escaleta!$E$5:$E$504&gt;$A146)*ROW(Escaleta!$A$5:$A$504))))</f>
        <v/>
      </c>
      <c r="Q146" s="50">
        <f>IF(OR($A146="",G$6=""),0,SUMPRODUCT(MAX((Escaleta!$A$5:$A$504=$B$4)*(Escaleta!$H$5:$H$504=G$6)*(Escaleta!$K$5:$K$504&lt;&gt;"Cancelada")*(Escaleta!$C$5:$C$504&lt;$A146+Configuración!$C$7/1440)*(Escaleta!$E$5:$E$504&gt;$A146)*ROW(Escaleta!$A$5:$A$504))))</f>
        <v/>
      </c>
      <c r="R146" s="50">
        <f>IF(OR($A146="",H$6=""),0,SUMPRODUCT(MAX((Escaleta!$A$5:$A$504=$B$4)*(Escaleta!$H$5:$H$504=H$6)*(Escaleta!$K$5:$K$504&lt;&gt;"Cancelada")*(Escaleta!$C$5:$C$504&lt;$A146+Configuración!$C$7/1440)*(Escaleta!$E$5:$E$504&gt;$A146)*ROW(Escaleta!$A$5:$A$504))))</f>
        <v/>
      </c>
      <c r="S146" s="50">
        <f>IF(OR($A146="",I$6=""),0,SUMPRODUCT(MAX((Escaleta!$A$5:$A$504=$B$4)*(Escaleta!$H$5:$H$504=I$6)*(Escaleta!$K$5:$K$504&lt;&gt;"Cancelada")*(Escaleta!$C$5:$C$504&lt;$A146+Configuración!$C$7/1440)*(Escaleta!$E$5:$E$504&gt;$A146)*ROW(Escaleta!$A$5:$A$504))))</f>
        <v/>
      </c>
      <c r="U146" s="50">
        <f>IF(L146=0,"",INDEX(Escaleta!$I$1:$I$504,L146))</f>
        <v/>
      </c>
      <c r="V146" s="50">
        <f>IF(M146=0,"",INDEX(Escaleta!$I$1:$I$504,M146))</f>
        <v/>
      </c>
      <c r="W146" s="50">
        <f>IF(N146=0,"",INDEX(Escaleta!$I$1:$I$504,N146))</f>
        <v/>
      </c>
      <c r="X146" s="50">
        <f>IF(O146=0,"",INDEX(Escaleta!$I$1:$I$504,O146))</f>
        <v/>
      </c>
      <c r="Y146" s="50">
        <f>IF(P146=0,"",INDEX(Escaleta!$I$1:$I$504,P146))</f>
        <v/>
      </c>
      <c r="Z146" s="50">
        <f>IF(Q146=0,"",INDEX(Escaleta!$I$1:$I$504,Q146))</f>
        <v/>
      </c>
      <c r="AA146" s="50">
        <f>IF(R146=0,"",INDEX(Escaleta!$I$1:$I$504,R146))</f>
        <v/>
      </c>
      <c r="AB146" s="50">
        <f>IF(S146=0,"",INDEX(Escaleta!$I$1:$I$504,S146))</f>
        <v/>
      </c>
    </row>
    <row r="147" ht="18" customHeight="1">
      <c r="A147" s="48">
        <f>IF(A146="","",IF(A146+Configuración!$C$7/1440&gt;Configuración!$C$6-0.0001,"",A146+Configuración!$C$7/1440))</f>
        <v/>
      </c>
      <c r="B147" s="49">
        <f>IF(L147=0,"",IF(L147&lt;&gt;L146,INDEX(Escaleta!$F$1:$F$504,L147),IF(L147&lt;&gt;L145,TEXT(INDEX(Escaleta!$C$1:$C$504,L147),"hh:mm")&amp;"–"&amp;TEXT(INDEX(Escaleta!$E$1:$E$504,L147),"hh:mm"),"")))</f>
        <v/>
      </c>
      <c r="C147" s="49">
        <f>IF(M147=0,"",IF(M147&lt;&gt;M146,INDEX(Escaleta!$F$1:$F$504,M147),IF(M147&lt;&gt;M145,TEXT(INDEX(Escaleta!$C$1:$C$504,M147),"hh:mm")&amp;"–"&amp;TEXT(INDEX(Escaleta!$E$1:$E$504,M147),"hh:mm"),"")))</f>
        <v/>
      </c>
      <c r="D147" s="49">
        <f>IF(N147=0,"",IF(N147&lt;&gt;N146,INDEX(Escaleta!$F$1:$F$504,N147),IF(N147&lt;&gt;N145,TEXT(INDEX(Escaleta!$C$1:$C$504,N147),"hh:mm")&amp;"–"&amp;TEXT(INDEX(Escaleta!$E$1:$E$504,N147),"hh:mm"),"")))</f>
        <v/>
      </c>
      <c r="E147" s="49">
        <f>IF(O147=0,"",IF(O147&lt;&gt;O146,INDEX(Escaleta!$F$1:$F$504,O147),IF(O147&lt;&gt;O145,TEXT(INDEX(Escaleta!$C$1:$C$504,O147),"hh:mm")&amp;"–"&amp;TEXT(INDEX(Escaleta!$E$1:$E$504,O147),"hh:mm"),"")))</f>
        <v/>
      </c>
      <c r="F147" s="49">
        <f>IF(P147=0,"",IF(P147&lt;&gt;P146,INDEX(Escaleta!$F$1:$F$504,P147),IF(P147&lt;&gt;P145,TEXT(INDEX(Escaleta!$C$1:$C$504,P147),"hh:mm")&amp;"–"&amp;TEXT(INDEX(Escaleta!$E$1:$E$504,P147),"hh:mm"),"")))</f>
        <v/>
      </c>
      <c r="G147" s="49">
        <f>IF(Q147=0,"",IF(Q147&lt;&gt;Q146,INDEX(Escaleta!$F$1:$F$504,Q147),IF(Q147&lt;&gt;Q145,TEXT(INDEX(Escaleta!$C$1:$C$504,Q147),"hh:mm")&amp;"–"&amp;TEXT(INDEX(Escaleta!$E$1:$E$504,Q147),"hh:mm"),"")))</f>
        <v/>
      </c>
      <c r="H147" s="49">
        <f>IF(R147=0,"",IF(R147&lt;&gt;R146,INDEX(Escaleta!$F$1:$F$504,R147),IF(R147&lt;&gt;R145,TEXT(INDEX(Escaleta!$C$1:$C$504,R147),"hh:mm")&amp;"–"&amp;TEXT(INDEX(Escaleta!$E$1:$E$504,R147),"hh:mm"),"")))</f>
        <v/>
      </c>
      <c r="I147" s="49">
        <f>IF(S147=0,"",IF(S147&lt;&gt;S146,INDEX(Escaleta!$F$1:$F$504,S147),IF(S147&lt;&gt;S145,TEXT(INDEX(Escaleta!$C$1:$C$504,S147),"hh:mm")&amp;"–"&amp;TEXT(INDEX(Escaleta!$E$1:$E$504,S147),"hh:mm"),"")))</f>
        <v/>
      </c>
      <c r="L147" s="50">
        <f>IF(OR($A147="",B$6=""),0,SUMPRODUCT(MAX((Escaleta!$A$5:$A$504=$B$4)*(Escaleta!$H$5:$H$504=B$6)*(Escaleta!$K$5:$K$504&lt;&gt;"Cancelada")*(Escaleta!$C$5:$C$504&lt;$A147+Configuración!$C$7/1440)*(Escaleta!$E$5:$E$504&gt;$A147)*ROW(Escaleta!$A$5:$A$504))))</f>
        <v/>
      </c>
      <c r="M147" s="50">
        <f>IF(OR($A147="",C$6=""),0,SUMPRODUCT(MAX((Escaleta!$A$5:$A$504=$B$4)*(Escaleta!$H$5:$H$504=C$6)*(Escaleta!$K$5:$K$504&lt;&gt;"Cancelada")*(Escaleta!$C$5:$C$504&lt;$A147+Configuración!$C$7/1440)*(Escaleta!$E$5:$E$504&gt;$A147)*ROW(Escaleta!$A$5:$A$504))))</f>
        <v/>
      </c>
      <c r="N147" s="50">
        <f>IF(OR($A147="",D$6=""),0,SUMPRODUCT(MAX((Escaleta!$A$5:$A$504=$B$4)*(Escaleta!$H$5:$H$504=D$6)*(Escaleta!$K$5:$K$504&lt;&gt;"Cancelada")*(Escaleta!$C$5:$C$504&lt;$A147+Configuración!$C$7/1440)*(Escaleta!$E$5:$E$504&gt;$A147)*ROW(Escaleta!$A$5:$A$504))))</f>
        <v/>
      </c>
      <c r="O147" s="50">
        <f>IF(OR($A147="",E$6=""),0,SUMPRODUCT(MAX((Escaleta!$A$5:$A$504=$B$4)*(Escaleta!$H$5:$H$504=E$6)*(Escaleta!$K$5:$K$504&lt;&gt;"Cancelada")*(Escaleta!$C$5:$C$504&lt;$A147+Configuración!$C$7/1440)*(Escaleta!$E$5:$E$504&gt;$A147)*ROW(Escaleta!$A$5:$A$504))))</f>
        <v/>
      </c>
      <c r="P147" s="50">
        <f>IF(OR($A147="",F$6=""),0,SUMPRODUCT(MAX((Escaleta!$A$5:$A$504=$B$4)*(Escaleta!$H$5:$H$504=F$6)*(Escaleta!$K$5:$K$504&lt;&gt;"Cancelada")*(Escaleta!$C$5:$C$504&lt;$A147+Configuración!$C$7/1440)*(Escaleta!$E$5:$E$504&gt;$A147)*ROW(Escaleta!$A$5:$A$504))))</f>
        <v/>
      </c>
      <c r="Q147" s="50">
        <f>IF(OR($A147="",G$6=""),0,SUMPRODUCT(MAX((Escaleta!$A$5:$A$504=$B$4)*(Escaleta!$H$5:$H$504=G$6)*(Escaleta!$K$5:$K$504&lt;&gt;"Cancelada")*(Escaleta!$C$5:$C$504&lt;$A147+Configuración!$C$7/1440)*(Escaleta!$E$5:$E$504&gt;$A147)*ROW(Escaleta!$A$5:$A$504))))</f>
        <v/>
      </c>
      <c r="R147" s="50">
        <f>IF(OR($A147="",H$6=""),0,SUMPRODUCT(MAX((Escaleta!$A$5:$A$504=$B$4)*(Escaleta!$H$5:$H$504=H$6)*(Escaleta!$K$5:$K$504&lt;&gt;"Cancelada")*(Escaleta!$C$5:$C$504&lt;$A147+Configuración!$C$7/1440)*(Escaleta!$E$5:$E$504&gt;$A147)*ROW(Escaleta!$A$5:$A$504))))</f>
        <v/>
      </c>
      <c r="S147" s="50">
        <f>IF(OR($A147="",I$6=""),0,SUMPRODUCT(MAX((Escaleta!$A$5:$A$504=$B$4)*(Escaleta!$H$5:$H$504=I$6)*(Escaleta!$K$5:$K$504&lt;&gt;"Cancelada")*(Escaleta!$C$5:$C$504&lt;$A147+Configuración!$C$7/1440)*(Escaleta!$E$5:$E$504&gt;$A147)*ROW(Escaleta!$A$5:$A$504))))</f>
        <v/>
      </c>
      <c r="U147" s="50">
        <f>IF(L147=0,"",INDEX(Escaleta!$I$1:$I$504,L147))</f>
        <v/>
      </c>
      <c r="V147" s="50">
        <f>IF(M147=0,"",INDEX(Escaleta!$I$1:$I$504,M147))</f>
        <v/>
      </c>
      <c r="W147" s="50">
        <f>IF(N147=0,"",INDEX(Escaleta!$I$1:$I$504,N147))</f>
        <v/>
      </c>
      <c r="X147" s="50">
        <f>IF(O147=0,"",INDEX(Escaleta!$I$1:$I$504,O147))</f>
        <v/>
      </c>
      <c r="Y147" s="50">
        <f>IF(P147=0,"",INDEX(Escaleta!$I$1:$I$504,P147))</f>
        <v/>
      </c>
      <c r="Z147" s="50">
        <f>IF(Q147=0,"",INDEX(Escaleta!$I$1:$I$504,Q147))</f>
        <v/>
      </c>
      <c r="AA147" s="50">
        <f>IF(R147=0,"",INDEX(Escaleta!$I$1:$I$504,R147))</f>
        <v/>
      </c>
      <c r="AB147" s="50">
        <f>IF(S147=0,"",INDEX(Escaleta!$I$1:$I$504,S147))</f>
        <v/>
      </c>
    </row>
    <row r="148" ht="18" customHeight="1">
      <c r="A148" s="48">
        <f>IF(A147="","",IF(A147+Configuración!$C$7/1440&gt;Configuración!$C$6-0.0001,"",A147+Configuración!$C$7/1440))</f>
        <v/>
      </c>
      <c r="B148" s="49">
        <f>IF(L148=0,"",IF(L148&lt;&gt;L147,INDEX(Escaleta!$F$1:$F$504,L148),IF(L148&lt;&gt;L146,TEXT(INDEX(Escaleta!$C$1:$C$504,L148),"hh:mm")&amp;"–"&amp;TEXT(INDEX(Escaleta!$E$1:$E$504,L148),"hh:mm"),"")))</f>
        <v/>
      </c>
      <c r="C148" s="49">
        <f>IF(M148=0,"",IF(M148&lt;&gt;M147,INDEX(Escaleta!$F$1:$F$504,M148),IF(M148&lt;&gt;M146,TEXT(INDEX(Escaleta!$C$1:$C$504,M148),"hh:mm")&amp;"–"&amp;TEXT(INDEX(Escaleta!$E$1:$E$504,M148),"hh:mm"),"")))</f>
        <v/>
      </c>
      <c r="D148" s="49">
        <f>IF(N148=0,"",IF(N148&lt;&gt;N147,INDEX(Escaleta!$F$1:$F$504,N148),IF(N148&lt;&gt;N146,TEXT(INDEX(Escaleta!$C$1:$C$504,N148),"hh:mm")&amp;"–"&amp;TEXT(INDEX(Escaleta!$E$1:$E$504,N148),"hh:mm"),"")))</f>
        <v/>
      </c>
      <c r="E148" s="49">
        <f>IF(O148=0,"",IF(O148&lt;&gt;O147,INDEX(Escaleta!$F$1:$F$504,O148),IF(O148&lt;&gt;O146,TEXT(INDEX(Escaleta!$C$1:$C$504,O148),"hh:mm")&amp;"–"&amp;TEXT(INDEX(Escaleta!$E$1:$E$504,O148),"hh:mm"),"")))</f>
        <v/>
      </c>
      <c r="F148" s="49">
        <f>IF(P148=0,"",IF(P148&lt;&gt;P147,INDEX(Escaleta!$F$1:$F$504,P148),IF(P148&lt;&gt;P146,TEXT(INDEX(Escaleta!$C$1:$C$504,P148),"hh:mm")&amp;"–"&amp;TEXT(INDEX(Escaleta!$E$1:$E$504,P148),"hh:mm"),"")))</f>
        <v/>
      </c>
      <c r="G148" s="49">
        <f>IF(Q148=0,"",IF(Q148&lt;&gt;Q147,INDEX(Escaleta!$F$1:$F$504,Q148),IF(Q148&lt;&gt;Q146,TEXT(INDEX(Escaleta!$C$1:$C$504,Q148),"hh:mm")&amp;"–"&amp;TEXT(INDEX(Escaleta!$E$1:$E$504,Q148),"hh:mm"),"")))</f>
        <v/>
      </c>
      <c r="H148" s="49">
        <f>IF(R148=0,"",IF(R148&lt;&gt;R147,INDEX(Escaleta!$F$1:$F$504,R148),IF(R148&lt;&gt;R146,TEXT(INDEX(Escaleta!$C$1:$C$504,R148),"hh:mm")&amp;"–"&amp;TEXT(INDEX(Escaleta!$E$1:$E$504,R148),"hh:mm"),"")))</f>
        <v/>
      </c>
      <c r="I148" s="49">
        <f>IF(S148=0,"",IF(S148&lt;&gt;S147,INDEX(Escaleta!$F$1:$F$504,S148),IF(S148&lt;&gt;S146,TEXT(INDEX(Escaleta!$C$1:$C$504,S148),"hh:mm")&amp;"–"&amp;TEXT(INDEX(Escaleta!$E$1:$E$504,S148),"hh:mm"),"")))</f>
        <v/>
      </c>
      <c r="L148" s="50">
        <f>IF(OR($A148="",B$6=""),0,SUMPRODUCT(MAX((Escaleta!$A$5:$A$504=$B$4)*(Escaleta!$H$5:$H$504=B$6)*(Escaleta!$K$5:$K$504&lt;&gt;"Cancelada")*(Escaleta!$C$5:$C$504&lt;$A148+Configuración!$C$7/1440)*(Escaleta!$E$5:$E$504&gt;$A148)*ROW(Escaleta!$A$5:$A$504))))</f>
        <v/>
      </c>
      <c r="M148" s="50">
        <f>IF(OR($A148="",C$6=""),0,SUMPRODUCT(MAX((Escaleta!$A$5:$A$504=$B$4)*(Escaleta!$H$5:$H$504=C$6)*(Escaleta!$K$5:$K$504&lt;&gt;"Cancelada")*(Escaleta!$C$5:$C$504&lt;$A148+Configuración!$C$7/1440)*(Escaleta!$E$5:$E$504&gt;$A148)*ROW(Escaleta!$A$5:$A$504))))</f>
        <v/>
      </c>
      <c r="N148" s="50">
        <f>IF(OR($A148="",D$6=""),0,SUMPRODUCT(MAX((Escaleta!$A$5:$A$504=$B$4)*(Escaleta!$H$5:$H$504=D$6)*(Escaleta!$K$5:$K$504&lt;&gt;"Cancelada")*(Escaleta!$C$5:$C$504&lt;$A148+Configuración!$C$7/1440)*(Escaleta!$E$5:$E$504&gt;$A148)*ROW(Escaleta!$A$5:$A$504))))</f>
        <v/>
      </c>
      <c r="O148" s="50">
        <f>IF(OR($A148="",E$6=""),0,SUMPRODUCT(MAX((Escaleta!$A$5:$A$504=$B$4)*(Escaleta!$H$5:$H$504=E$6)*(Escaleta!$K$5:$K$504&lt;&gt;"Cancelada")*(Escaleta!$C$5:$C$504&lt;$A148+Configuración!$C$7/1440)*(Escaleta!$E$5:$E$504&gt;$A148)*ROW(Escaleta!$A$5:$A$504))))</f>
        <v/>
      </c>
      <c r="P148" s="50">
        <f>IF(OR($A148="",F$6=""),0,SUMPRODUCT(MAX((Escaleta!$A$5:$A$504=$B$4)*(Escaleta!$H$5:$H$504=F$6)*(Escaleta!$K$5:$K$504&lt;&gt;"Cancelada")*(Escaleta!$C$5:$C$504&lt;$A148+Configuración!$C$7/1440)*(Escaleta!$E$5:$E$504&gt;$A148)*ROW(Escaleta!$A$5:$A$504))))</f>
        <v/>
      </c>
      <c r="Q148" s="50">
        <f>IF(OR($A148="",G$6=""),0,SUMPRODUCT(MAX((Escaleta!$A$5:$A$504=$B$4)*(Escaleta!$H$5:$H$504=G$6)*(Escaleta!$K$5:$K$504&lt;&gt;"Cancelada")*(Escaleta!$C$5:$C$504&lt;$A148+Configuración!$C$7/1440)*(Escaleta!$E$5:$E$504&gt;$A148)*ROW(Escaleta!$A$5:$A$504))))</f>
        <v/>
      </c>
      <c r="R148" s="50">
        <f>IF(OR($A148="",H$6=""),0,SUMPRODUCT(MAX((Escaleta!$A$5:$A$504=$B$4)*(Escaleta!$H$5:$H$504=H$6)*(Escaleta!$K$5:$K$504&lt;&gt;"Cancelada")*(Escaleta!$C$5:$C$504&lt;$A148+Configuración!$C$7/1440)*(Escaleta!$E$5:$E$504&gt;$A148)*ROW(Escaleta!$A$5:$A$504))))</f>
        <v/>
      </c>
      <c r="S148" s="50">
        <f>IF(OR($A148="",I$6=""),0,SUMPRODUCT(MAX((Escaleta!$A$5:$A$504=$B$4)*(Escaleta!$H$5:$H$504=I$6)*(Escaleta!$K$5:$K$504&lt;&gt;"Cancelada")*(Escaleta!$C$5:$C$504&lt;$A148+Configuración!$C$7/1440)*(Escaleta!$E$5:$E$504&gt;$A148)*ROW(Escaleta!$A$5:$A$504))))</f>
        <v/>
      </c>
      <c r="U148" s="50">
        <f>IF(L148=0,"",INDEX(Escaleta!$I$1:$I$504,L148))</f>
        <v/>
      </c>
      <c r="V148" s="50">
        <f>IF(M148=0,"",INDEX(Escaleta!$I$1:$I$504,M148))</f>
        <v/>
      </c>
      <c r="W148" s="50">
        <f>IF(N148=0,"",INDEX(Escaleta!$I$1:$I$504,N148))</f>
        <v/>
      </c>
      <c r="X148" s="50">
        <f>IF(O148=0,"",INDEX(Escaleta!$I$1:$I$504,O148))</f>
        <v/>
      </c>
      <c r="Y148" s="50">
        <f>IF(P148=0,"",INDEX(Escaleta!$I$1:$I$504,P148))</f>
        <v/>
      </c>
      <c r="Z148" s="50">
        <f>IF(Q148=0,"",INDEX(Escaleta!$I$1:$I$504,Q148))</f>
        <v/>
      </c>
      <c r="AA148" s="50">
        <f>IF(R148=0,"",INDEX(Escaleta!$I$1:$I$504,R148))</f>
        <v/>
      </c>
      <c r="AB148" s="50">
        <f>IF(S148=0,"",INDEX(Escaleta!$I$1:$I$504,S148))</f>
        <v/>
      </c>
    </row>
    <row r="149" ht="18" customHeight="1">
      <c r="A149" s="48">
        <f>IF(A148="","",IF(A148+Configuración!$C$7/1440&gt;Configuración!$C$6-0.0001,"",A148+Configuración!$C$7/1440))</f>
        <v/>
      </c>
      <c r="B149" s="49">
        <f>IF(L149=0,"",IF(L149&lt;&gt;L148,INDEX(Escaleta!$F$1:$F$504,L149),IF(L149&lt;&gt;L147,TEXT(INDEX(Escaleta!$C$1:$C$504,L149),"hh:mm")&amp;"–"&amp;TEXT(INDEX(Escaleta!$E$1:$E$504,L149),"hh:mm"),"")))</f>
        <v/>
      </c>
      <c r="C149" s="49">
        <f>IF(M149=0,"",IF(M149&lt;&gt;M148,INDEX(Escaleta!$F$1:$F$504,M149),IF(M149&lt;&gt;M147,TEXT(INDEX(Escaleta!$C$1:$C$504,M149),"hh:mm")&amp;"–"&amp;TEXT(INDEX(Escaleta!$E$1:$E$504,M149),"hh:mm"),"")))</f>
        <v/>
      </c>
      <c r="D149" s="49">
        <f>IF(N149=0,"",IF(N149&lt;&gt;N148,INDEX(Escaleta!$F$1:$F$504,N149),IF(N149&lt;&gt;N147,TEXT(INDEX(Escaleta!$C$1:$C$504,N149),"hh:mm")&amp;"–"&amp;TEXT(INDEX(Escaleta!$E$1:$E$504,N149),"hh:mm"),"")))</f>
        <v/>
      </c>
      <c r="E149" s="49">
        <f>IF(O149=0,"",IF(O149&lt;&gt;O148,INDEX(Escaleta!$F$1:$F$504,O149),IF(O149&lt;&gt;O147,TEXT(INDEX(Escaleta!$C$1:$C$504,O149),"hh:mm")&amp;"–"&amp;TEXT(INDEX(Escaleta!$E$1:$E$504,O149),"hh:mm"),"")))</f>
        <v/>
      </c>
      <c r="F149" s="49">
        <f>IF(P149=0,"",IF(P149&lt;&gt;P148,INDEX(Escaleta!$F$1:$F$504,P149),IF(P149&lt;&gt;P147,TEXT(INDEX(Escaleta!$C$1:$C$504,P149),"hh:mm")&amp;"–"&amp;TEXT(INDEX(Escaleta!$E$1:$E$504,P149),"hh:mm"),"")))</f>
        <v/>
      </c>
      <c r="G149" s="49">
        <f>IF(Q149=0,"",IF(Q149&lt;&gt;Q148,INDEX(Escaleta!$F$1:$F$504,Q149),IF(Q149&lt;&gt;Q147,TEXT(INDEX(Escaleta!$C$1:$C$504,Q149),"hh:mm")&amp;"–"&amp;TEXT(INDEX(Escaleta!$E$1:$E$504,Q149),"hh:mm"),"")))</f>
        <v/>
      </c>
      <c r="H149" s="49">
        <f>IF(R149=0,"",IF(R149&lt;&gt;R148,INDEX(Escaleta!$F$1:$F$504,R149),IF(R149&lt;&gt;R147,TEXT(INDEX(Escaleta!$C$1:$C$504,R149),"hh:mm")&amp;"–"&amp;TEXT(INDEX(Escaleta!$E$1:$E$504,R149),"hh:mm"),"")))</f>
        <v/>
      </c>
      <c r="I149" s="49">
        <f>IF(S149=0,"",IF(S149&lt;&gt;S148,INDEX(Escaleta!$F$1:$F$504,S149),IF(S149&lt;&gt;S147,TEXT(INDEX(Escaleta!$C$1:$C$504,S149),"hh:mm")&amp;"–"&amp;TEXT(INDEX(Escaleta!$E$1:$E$504,S149),"hh:mm"),"")))</f>
        <v/>
      </c>
      <c r="L149" s="50">
        <f>IF(OR($A149="",B$6=""),0,SUMPRODUCT(MAX((Escaleta!$A$5:$A$504=$B$4)*(Escaleta!$H$5:$H$504=B$6)*(Escaleta!$K$5:$K$504&lt;&gt;"Cancelada")*(Escaleta!$C$5:$C$504&lt;$A149+Configuración!$C$7/1440)*(Escaleta!$E$5:$E$504&gt;$A149)*ROW(Escaleta!$A$5:$A$504))))</f>
        <v/>
      </c>
      <c r="M149" s="50">
        <f>IF(OR($A149="",C$6=""),0,SUMPRODUCT(MAX((Escaleta!$A$5:$A$504=$B$4)*(Escaleta!$H$5:$H$504=C$6)*(Escaleta!$K$5:$K$504&lt;&gt;"Cancelada")*(Escaleta!$C$5:$C$504&lt;$A149+Configuración!$C$7/1440)*(Escaleta!$E$5:$E$504&gt;$A149)*ROW(Escaleta!$A$5:$A$504))))</f>
        <v/>
      </c>
      <c r="N149" s="50">
        <f>IF(OR($A149="",D$6=""),0,SUMPRODUCT(MAX((Escaleta!$A$5:$A$504=$B$4)*(Escaleta!$H$5:$H$504=D$6)*(Escaleta!$K$5:$K$504&lt;&gt;"Cancelada")*(Escaleta!$C$5:$C$504&lt;$A149+Configuración!$C$7/1440)*(Escaleta!$E$5:$E$504&gt;$A149)*ROW(Escaleta!$A$5:$A$504))))</f>
        <v/>
      </c>
      <c r="O149" s="50">
        <f>IF(OR($A149="",E$6=""),0,SUMPRODUCT(MAX((Escaleta!$A$5:$A$504=$B$4)*(Escaleta!$H$5:$H$504=E$6)*(Escaleta!$K$5:$K$504&lt;&gt;"Cancelada")*(Escaleta!$C$5:$C$504&lt;$A149+Configuración!$C$7/1440)*(Escaleta!$E$5:$E$504&gt;$A149)*ROW(Escaleta!$A$5:$A$504))))</f>
        <v/>
      </c>
      <c r="P149" s="50">
        <f>IF(OR($A149="",F$6=""),0,SUMPRODUCT(MAX((Escaleta!$A$5:$A$504=$B$4)*(Escaleta!$H$5:$H$504=F$6)*(Escaleta!$K$5:$K$504&lt;&gt;"Cancelada")*(Escaleta!$C$5:$C$504&lt;$A149+Configuración!$C$7/1440)*(Escaleta!$E$5:$E$504&gt;$A149)*ROW(Escaleta!$A$5:$A$504))))</f>
        <v/>
      </c>
      <c r="Q149" s="50">
        <f>IF(OR($A149="",G$6=""),0,SUMPRODUCT(MAX((Escaleta!$A$5:$A$504=$B$4)*(Escaleta!$H$5:$H$504=G$6)*(Escaleta!$K$5:$K$504&lt;&gt;"Cancelada")*(Escaleta!$C$5:$C$504&lt;$A149+Configuración!$C$7/1440)*(Escaleta!$E$5:$E$504&gt;$A149)*ROW(Escaleta!$A$5:$A$504))))</f>
        <v/>
      </c>
      <c r="R149" s="50">
        <f>IF(OR($A149="",H$6=""),0,SUMPRODUCT(MAX((Escaleta!$A$5:$A$504=$B$4)*(Escaleta!$H$5:$H$504=H$6)*(Escaleta!$K$5:$K$504&lt;&gt;"Cancelada")*(Escaleta!$C$5:$C$504&lt;$A149+Configuración!$C$7/1440)*(Escaleta!$E$5:$E$504&gt;$A149)*ROW(Escaleta!$A$5:$A$504))))</f>
        <v/>
      </c>
      <c r="S149" s="50">
        <f>IF(OR($A149="",I$6=""),0,SUMPRODUCT(MAX((Escaleta!$A$5:$A$504=$B$4)*(Escaleta!$H$5:$H$504=I$6)*(Escaleta!$K$5:$K$504&lt;&gt;"Cancelada")*(Escaleta!$C$5:$C$504&lt;$A149+Configuración!$C$7/1440)*(Escaleta!$E$5:$E$504&gt;$A149)*ROW(Escaleta!$A$5:$A$504))))</f>
        <v/>
      </c>
      <c r="U149" s="50">
        <f>IF(L149=0,"",INDEX(Escaleta!$I$1:$I$504,L149))</f>
        <v/>
      </c>
      <c r="V149" s="50">
        <f>IF(M149=0,"",INDEX(Escaleta!$I$1:$I$504,M149))</f>
        <v/>
      </c>
      <c r="W149" s="50">
        <f>IF(N149=0,"",INDEX(Escaleta!$I$1:$I$504,N149))</f>
        <v/>
      </c>
      <c r="X149" s="50">
        <f>IF(O149=0,"",INDEX(Escaleta!$I$1:$I$504,O149))</f>
        <v/>
      </c>
      <c r="Y149" s="50">
        <f>IF(P149=0,"",INDEX(Escaleta!$I$1:$I$504,P149))</f>
        <v/>
      </c>
      <c r="Z149" s="50">
        <f>IF(Q149=0,"",INDEX(Escaleta!$I$1:$I$504,Q149))</f>
        <v/>
      </c>
      <c r="AA149" s="50">
        <f>IF(R149=0,"",INDEX(Escaleta!$I$1:$I$504,R149))</f>
        <v/>
      </c>
      <c r="AB149" s="50">
        <f>IF(S149=0,"",INDEX(Escaleta!$I$1:$I$504,S149))</f>
        <v/>
      </c>
    </row>
    <row r="150" ht="18" customHeight="1">
      <c r="A150" s="48">
        <f>IF(A149="","",IF(A149+Configuración!$C$7/1440&gt;Configuración!$C$6-0.0001,"",A149+Configuración!$C$7/1440))</f>
        <v/>
      </c>
      <c r="B150" s="49">
        <f>IF(L150=0,"",IF(L150&lt;&gt;L149,INDEX(Escaleta!$F$1:$F$504,L150),IF(L150&lt;&gt;L148,TEXT(INDEX(Escaleta!$C$1:$C$504,L150),"hh:mm")&amp;"–"&amp;TEXT(INDEX(Escaleta!$E$1:$E$504,L150),"hh:mm"),"")))</f>
        <v/>
      </c>
      <c r="C150" s="49">
        <f>IF(M150=0,"",IF(M150&lt;&gt;M149,INDEX(Escaleta!$F$1:$F$504,M150),IF(M150&lt;&gt;M148,TEXT(INDEX(Escaleta!$C$1:$C$504,M150),"hh:mm")&amp;"–"&amp;TEXT(INDEX(Escaleta!$E$1:$E$504,M150),"hh:mm"),"")))</f>
        <v/>
      </c>
      <c r="D150" s="49">
        <f>IF(N150=0,"",IF(N150&lt;&gt;N149,INDEX(Escaleta!$F$1:$F$504,N150),IF(N150&lt;&gt;N148,TEXT(INDEX(Escaleta!$C$1:$C$504,N150),"hh:mm")&amp;"–"&amp;TEXT(INDEX(Escaleta!$E$1:$E$504,N150),"hh:mm"),"")))</f>
        <v/>
      </c>
      <c r="E150" s="49">
        <f>IF(O150=0,"",IF(O150&lt;&gt;O149,INDEX(Escaleta!$F$1:$F$504,O150),IF(O150&lt;&gt;O148,TEXT(INDEX(Escaleta!$C$1:$C$504,O150),"hh:mm")&amp;"–"&amp;TEXT(INDEX(Escaleta!$E$1:$E$504,O150),"hh:mm"),"")))</f>
        <v/>
      </c>
      <c r="F150" s="49">
        <f>IF(P150=0,"",IF(P150&lt;&gt;P149,INDEX(Escaleta!$F$1:$F$504,P150),IF(P150&lt;&gt;P148,TEXT(INDEX(Escaleta!$C$1:$C$504,P150),"hh:mm")&amp;"–"&amp;TEXT(INDEX(Escaleta!$E$1:$E$504,P150),"hh:mm"),"")))</f>
        <v/>
      </c>
      <c r="G150" s="49">
        <f>IF(Q150=0,"",IF(Q150&lt;&gt;Q149,INDEX(Escaleta!$F$1:$F$504,Q150),IF(Q150&lt;&gt;Q148,TEXT(INDEX(Escaleta!$C$1:$C$504,Q150),"hh:mm")&amp;"–"&amp;TEXT(INDEX(Escaleta!$E$1:$E$504,Q150),"hh:mm"),"")))</f>
        <v/>
      </c>
      <c r="H150" s="49">
        <f>IF(R150=0,"",IF(R150&lt;&gt;R149,INDEX(Escaleta!$F$1:$F$504,R150),IF(R150&lt;&gt;R148,TEXT(INDEX(Escaleta!$C$1:$C$504,R150),"hh:mm")&amp;"–"&amp;TEXT(INDEX(Escaleta!$E$1:$E$504,R150),"hh:mm"),"")))</f>
        <v/>
      </c>
      <c r="I150" s="49">
        <f>IF(S150=0,"",IF(S150&lt;&gt;S149,INDEX(Escaleta!$F$1:$F$504,S150),IF(S150&lt;&gt;S148,TEXT(INDEX(Escaleta!$C$1:$C$504,S150),"hh:mm")&amp;"–"&amp;TEXT(INDEX(Escaleta!$E$1:$E$504,S150),"hh:mm"),"")))</f>
        <v/>
      </c>
      <c r="L150" s="50">
        <f>IF(OR($A150="",B$6=""),0,SUMPRODUCT(MAX((Escaleta!$A$5:$A$504=$B$4)*(Escaleta!$H$5:$H$504=B$6)*(Escaleta!$K$5:$K$504&lt;&gt;"Cancelada")*(Escaleta!$C$5:$C$504&lt;$A150+Configuración!$C$7/1440)*(Escaleta!$E$5:$E$504&gt;$A150)*ROW(Escaleta!$A$5:$A$504))))</f>
        <v/>
      </c>
      <c r="M150" s="50">
        <f>IF(OR($A150="",C$6=""),0,SUMPRODUCT(MAX((Escaleta!$A$5:$A$504=$B$4)*(Escaleta!$H$5:$H$504=C$6)*(Escaleta!$K$5:$K$504&lt;&gt;"Cancelada")*(Escaleta!$C$5:$C$504&lt;$A150+Configuración!$C$7/1440)*(Escaleta!$E$5:$E$504&gt;$A150)*ROW(Escaleta!$A$5:$A$504))))</f>
        <v/>
      </c>
      <c r="N150" s="50">
        <f>IF(OR($A150="",D$6=""),0,SUMPRODUCT(MAX((Escaleta!$A$5:$A$504=$B$4)*(Escaleta!$H$5:$H$504=D$6)*(Escaleta!$K$5:$K$504&lt;&gt;"Cancelada")*(Escaleta!$C$5:$C$504&lt;$A150+Configuración!$C$7/1440)*(Escaleta!$E$5:$E$504&gt;$A150)*ROW(Escaleta!$A$5:$A$504))))</f>
        <v/>
      </c>
      <c r="O150" s="50">
        <f>IF(OR($A150="",E$6=""),0,SUMPRODUCT(MAX((Escaleta!$A$5:$A$504=$B$4)*(Escaleta!$H$5:$H$504=E$6)*(Escaleta!$K$5:$K$504&lt;&gt;"Cancelada")*(Escaleta!$C$5:$C$504&lt;$A150+Configuración!$C$7/1440)*(Escaleta!$E$5:$E$504&gt;$A150)*ROW(Escaleta!$A$5:$A$504))))</f>
        <v/>
      </c>
      <c r="P150" s="50">
        <f>IF(OR($A150="",F$6=""),0,SUMPRODUCT(MAX((Escaleta!$A$5:$A$504=$B$4)*(Escaleta!$H$5:$H$504=F$6)*(Escaleta!$K$5:$K$504&lt;&gt;"Cancelada")*(Escaleta!$C$5:$C$504&lt;$A150+Configuración!$C$7/1440)*(Escaleta!$E$5:$E$504&gt;$A150)*ROW(Escaleta!$A$5:$A$504))))</f>
        <v/>
      </c>
      <c r="Q150" s="50">
        <f>IF(OR($A150="",G$6=""),0,SUMPRODUCT(MAX((Escaleta!$A$5:$A$504=$B$4)*(Escaleta!$H$5:$H$504=G$6)*(Escaleta!$K$5:$K$504&lt;&gt;"Cancelada")*(Escaleta!$C$5:$C$504&lt;$A150+Configuración!$C$7/1440)*(Escaleta!$E$5:$E$504&gt;$A150)*ROW(Escaleta!$A$5:$A$504))))</f>
        <v/>
      </c>
      <c r="R150" s="50">
        <f>IF(OR($A150="",H$6=""),0,SUMPRODUCT(MAX((Escaleta!$A$5:$A$504=$B$4)*(Escaleta!$H$5:$H$504=H$6)*(Escaleta!$K$5:$K$504&lt;&gt;"Cancelada")*(Escaleta!$C$5:$C$504&lt;$A150+Configuración!$C$7/1440)*(Escaleta!$E$5:$E$504&gt;$A150)*ROW(Escaleta!$A$5:$A$504))))</f>
        <v/>
      </c>
      <c r="S150" s="50">
        <f>IF(OR($A150="",I$6=""),0,SUMPRODUCT(MAX((Escaleta!$A$5:$A$504=$B$4)*(Escaleta!$H$5:$H$504=I$6)*(Escaleta!$K$5:$K$504&lt;&gt;"Cancelada")*(Escaleta!$C$5:$C$504&lt;$A150+Configuración!$C$7/1440)*(Escaleta!$E$5:$E$504&gt;$A150)*ROW(Escaleta!$A$5:$A$504))))</f>
        <v/>
      </c>
      <c r="U150" s="50">
        <f>IF(L150=0,"",INDEX(Escaleta!$I$1:$I$504,L150))</f>
        <v/>
      </c>
      <c r="V150" s="50">
        <f>IF(M150=0,"",INDEX(Escaleta!$I$1:$I$504,M150))</f>
        <v/>
      </c>
      <c r="W150" s="50">
        <f>IF(N150=0,"",INDEX(Escaleta!$I$1:$I$504,N150))</f>
        <v/>
      </c>
      <c r="X150" s="50">
        <f>IF(O150=0,"",INDEX(Escaleta!$I$1:$I$504,O150))</f>
        <v/>
      </c>
      <c r="Y150" s="50">
        <f>IF(P150=0,"",INDEX(Escaleta!$I$1:$I$504,P150))</f>
        <v/>
      </c>
      <c r="Z150" s="50">
        <f>IF(Q150=0,"",INDEX(Escaleta!$I$1:$I$504,Q150))</f>
        <v/>
      </c>
      <c r="AA150" s="50">
        <f>IF(R150=0,"",INDEX(Escaleta!$I$1:$I$504,R150))</f>
        <v/>
      </c>
      <c r="AB150" s="50">
        <f>IF(S150=0,"",INDEX(Escaleta!$I$1:$I$504,S150))</f>
        <v/>
      </c>
    </row>
    <row r="151" ht="18" customHeight="1">
      <c r="A151" s="48">
        <f>IF(A150="","",IF(A150+Configuración!$C$7/1440&gt;Configuración!$C$6-0.0001,"",A150+Configuración!$C$7/1440))</f>
        <v/>
      </c>
      <c r="B151" s="49">
        <f>IF(L151=0,"",IF(L151&lt;&gt;L150,INDEX(Escaleta!$F$1:$F$504,L151),IF(L151&lt;&gt;L149,TEXT(INDEX(Escaleta!$C$1:$C$504,L151),"hh:mm")&amp;"–"&amp;TEXT(INDEX(Escaleta!$E$1:$E$504,L151),"hh:mm"),"")))</f>
        <v/>
      </c>
      <c r="C151" s="49">
        <f>IF(M151=0,"",IF(M151&lt;&gt;M150,INDEX(Escaleta!$F$1:$F$504,M151),IF(M151&lt;&gt;M149,TEXT(INDEX(Escaleta!$C$1:$C$504,M151),"hh:mm")&amp;"–"&amp;TEXT(INDEX(Escaleta!$E$1:$E$504,M151),"hh:mm"),"")))</f>
        <v/>
      </c>
      <c r="D151" s="49">
        <f>IF(N151=0,"",IF(N151&lt;&gt;N150,INDEX(Escaleta!$F$1:$F$504,N151),IF(N151&lt;&gt;N149,TEXT(INDEX(Escaleta!$C$1:$C$504,N151),"hh:mm")&amp;"–"&amp;TEXT(INDEX(Escaleta!$E$1:$E$504,N151),"hh:mm"),"")))</f>
        <v/>
      </c>
      <c r="E151" s="49">
        <f>IF(O151=0,"",IF(O151&lt;&gt;O150,INDEX(Escaleta!$F$1:$F$504,O151),IF(O151&lt;&gt;O149,TEXT(INDEX(Escaleta!$C$1:$C$504,O151),"hh:mm")&amp;"–"&amp;TEXT(INDEX(Escaleta!$E$1:$E$504,O151),"hh:mm"),"")))</f>
        <v/>
      </c>
      <c r="F151" s="49">
        <f>IF(P151=0,"",IF(P151&lt;&gt;P150,INDEX(Escaleta!$F$1:$F$504,P151),IF(P151&lt;&gt;P149,TEXT(INDEX(Escaleta!$C$1:$C$504,P151),"hh:mm")&amp;"–"&amp;TEXT(INDEX(Escaleta!$E$1:$E$504,P151),"hh:mm"),"")))</f>
        <v/>
      </c>
      <c r="G151" s="49">
        <f>IF(Q151=0,"",IF(Q151&lt;&gt;Q150,INDEX(Escaleta!$F$1:$F$504,Q151),IF(Q151&lt;&gt;Q149,TEXT(INDEX(Escaleta!$C$1:$C$504,Q151),"hh:mm")&amp;"–"&amp;TEXT(INDEX(Escaleta!$E$1:$E$504,Q151),"hh:mm"),"")))</f>
        <v/>
      </c>
      <c r="H151" s="49">
        <f>IF(R151=0,"",IF(R151&lt;&gt;R150,INDEX(Escaleta!$F$1:$F$504,R151),IF(R151&lt;&gt;R149,TEXT(INDEX(Escaleta!$C$1:$C$504,R151),"hh:mm")&amp;"–"&amp;TEXT(INDEX(Escaleta!$E$1:$E$504,R151),"hh:mm"),"")))</f>
        <v/>
      </c>
      <c r="I151" s="49">
        <f>IF(S151=0,"",IF(S151&lt;&gt;S150,INDEX(Escaleta!$F$1:$F$504,S151),IF(S151&lt;&gt;S149,TEXT(INDEX(Escaleta!$C$1:$C$504,S151),"hh:mm")&amp;"–"&amp;TEXT(INDEX(Escaleta!$E$1:$E$504,S151),"hh:mm"),"")))</f>
        <v/>
      </c>
      <c r="L151" s="50">
        <f>IF(OR($A151="",B$6=""),0,SUMPRODUCT(MAX((Escaleta!$A$5:$A$504=$B$4)*(Escaleta!$H$5:$H$504=B$6)*(Escaleta!$K$5:$K$504&lt;&gt;"Cancelada")*(Escaleta!$C$5:$C$504&lt;$A151+Configuración!$C$7/1440)*(Escaleta!$E$5:$E$504&gt;$A151)*ROW(Escaleta!$A$5:$A$504))))</f>
        <v/>
      </c>
      <c r="M151" s="50">
        <f>IF(OR($A151="",C$6=""),0,SUMPRODUCT(MAX((Escaleta!$A$5:$A$504=$B$4)*(Escaleta!$H$5:$H$504=C$6)*(Escaleta!$K$5:$K$504&lt;&gt;"Cancelada")*(Escaleta!$C$5:$C$504&lt;$A151+Configuración!$C$7/1440)*(Escaleta!$E$5:$E$504&gt;$A151)*ROW(Escaleta!$A$5:$A$504))))</f>
        <v/>
      </c>
      <c r="N151" s="50">
        <f>IF(OR($A151="",D$6=""),0,SUMPRODUCT(MAX((Escaleta!$A$5:$A$504=$B$4)*(Escaleta!$H$5:$H$504=D$6)*(Escaleta!$K$5:$K$504&lt;&gt;"Cancelada")*(Escaleta!$C$5:$C$504&lt;$A151+Configuración!$C$7/1440)*(Escaleta!$E$5:$E$504&gt;$A151)*ROW(Escaleta!$A$5:$A$504))))</f>
        <v/>
      </c>
      <c r="O151" s="50">
        <f>IF(OR($A151="",E$6=""),0,SUMPRODUCT(MAX((Escaleta!$A$5:$A$504=$B$4)*(Escaleta!$H$5:$H$504=E$6)*(Escaleta!$K$5:$K$504&lt;&gt;"Cancelada")*(Escaleta!$C$5:$C$504&lt;$A151+Configuración!$C$7/1440)*(Escaleta!$E$5:$E$504&gt;$A151)*ROW(Escaleta!$A$5:$A$504))))</f>
        <v/>
      </c>
      <c r="P151" s="50">
        <f>IF(OR($A151="",F$6=""),0,SUMPRODUCT(MAX((Escaleta!$A$5:$A$504=$B$4)*(Escaleta!$H$5:$H$504=F$6)*(Escaleta!$K$5:$K$504&lt;&gt;"Cancelada")*(Escaleta!$C$5:$C$504&lt;$A151+Configuración!$C$7/1440)*(Escaleta!$E$5:$E$504&gt;$A151)*ROW(Escaleta!$A$5:$A$504))))</f>
        <v/>
      </c>
      <c r="Q151" s="50">
        <f>IF(OR($A151="",G$6=""),0,SUMPRODUCT(MAX((Escaleta!$A$5:$A$504=$B$4)*(Escaleta!$H$5:$H$504=G$6)*(Escaleta!$K$5:$K$504&lt;&gt;"Cancelada")*(Escaleta!$C$5:$C$504&lt;$A151+Configuración!$C$7/1440)*(Escaleta!$E$5:$E$504&gt;$A151)*ROW(Escaleta!$A$5:$A$504))))</f>
        <v/>
      </c>
      <c r="R151" s="50">
        <f>IF(OR($A151="",H$6=""),0,SUMPRODUCT(MAX((Escaleta!$A$5:$A$504=$B$4)*(Escaleta!$H$5:$H$504=H$6)*(Escaleta!$K$5:$K$504&lt;&gt;"Cancelada")*(Escaleta!$C$5:$C$504&lt;$A151+Configuración!$C$7/1440)*(Escaleta!$E$5:$E$504&gt;$A151)*ROW(Escaleta!$A$5:$A$504))))</f>
        <v/>
      </c>
      <c r="S151" s="50">
        <f>IF(OR($A151="",I$6=""),0,SUMPRODUCT(MAX((Escaleta!$A$5:$A$504=$B$4)*(Escaleta!$H$5:$H$504=I$6)*(Escaleta!$K$5:$K$504&lt;&gt;"Cancelada")*(Escaleta!$C$5:$C$504&lt;$A151+Configuración!$C$7/1440)*(Escaleta!$E$5:$E$504&gt;$A151)*ROW(Escaleta!$A$5:$A$504))))</f>
        <v/>
      </c>
      <c r="U151" s="50">
        <f>IF(L151=0,"",INDEX(Escaleta!$I$1:$I$504,L151))</f>
        <v/>
      </c>
      <c r="V151" s="50">
        <f>IF(M151=0,"",INDEX(Escaleta!$I$1:$I$504,M151))</f>
        <v/>
      </c>
      <c r="W151" s="50">
        <f>IF(N151=0,"",INDEX(Escaleta!$I$1:$I$504,N151))</f>
        <v/>
      </c>
      <c r="X151" s="50">
        <f>IF(O151=0,"",INDEX(Escaleta!$I$1:$I$504,O151))</f>
        <v/>
      </c>
      <c r="Y151" s="50">
        <f>IF(P151=0,"",INDEX(Escaleta!$I$1:$I$504,P151))</f>
        <v/>
      </c>
      <c r="Z151" s="50">
        <f>IF(Q151=0,"",INDEX(Escaleta!$I$1:$I$504,Q151))</f>
        <v/>
      </c>
      <c r="AA151" s="50">
        <f>IF(R151=0,"",INDEX(Escaleta!$I$1:$I$504,R151))</f>
        <v/>
      </c>
      <c r="AB151" s="50">
        <f>IF(S151=0,"",INDEX(Escaleta!$I$1:$I$504,S151))</f>
        <v/>
      </c>
    </row>
    <row r="152" ht="18" customHeight="1">
      <c r="A152" s="48">
        <f>IF(A151="","",IF(A151+Configuración!$C$7/1440&gt;Configuración!$C$6-0.0001,"",A151+Configuración!$C$7/1440))</f>
        <v/>
      </c>
      <c r="B152" s="49">
        <f>IF(L152=0,"",IF(L152&lt;&gt;L151,INDEX(Escaleta!$F$1:$F$504,L152),IF(L152&lt;&gt;L150,TEXT(INDEX(Escaleta!$C$1:$C$504,L152),"hh:mm")&amp;"–"&amp;TEXT(INDEX(Escaleta!$E$1:$E$504,L152),"hh:mm"),"")))</f>
        <v/>
      </c>
      <c r="C152" s="49">
        <f>IF(M152=0,"",IF(M152&lt;&gt;M151,INDEX(Escaleta!$F$1:$F$504,M152),IF(M152&lt;&gt;M150,TEXT(INDEX(Escaleta!$C$1:$C$504,M152),"hh:mm")&amp;"–"&amp;TEXT(INDEX(Escaleta!$E$1:$E$504,M152),"hh:mm"),"")))</f>
        <v/>
      </c>
      <c r="D152" s="49">
        <f>IF(N152=0,"",IF(N152&lt;&gt;N151,INDEX(Escaleta!$F$1:$F$504,N152),IF(N152&lt;&gt;N150,TEXT(INDEX(Escaleta!$C$1:$C$504,N152),"hh:mm")&amp;"–"&amp;TEXT(INDEX(Escaleta!$E$1:$E$504,N152),"hh:mm"),"")))</f>
        <v/>
      </c>
      <c r="E152" s="49">
        <f>IF(O152=0,"",IF(O152&lt;&gt;O151,INDEX(Escaleta!$F$1:$F$504,O152),IF(O152&lt;&gt;O150,TEXT(INDEX(Escaleta!$C$1:$C$504,O152),"hh:mm")&amp;"–"&amp;TEXT(INDEX(Escaleta!$E$1:$E$504,O152),"hh:mm"),"")))</f>
        <v/>
      </c>
      <c r="F152" s="49">
        <f>IF(P152=0,"",IF(P152&lt;&gt;P151,INDEX(Escaleta!$F$1:$F$504,P152),IF(P152&lt;&gt;P150,TEXT(INDEX(Escaleta!$C$1:$C$504,P152),"hh:mm")&amp;"–"&amp;TEXT(INDEX(Escaleta!$E$1:$E$504,P152),"hh:mm"),"")))</f>
        <v/>
      </c>
      <c r="G152" s="49">
        <f>IF(Q152=0,"",IF(Q152&lt;&gt;Q151,INDEX(Escaleta!$F$1:$F$504,Q152),IF(Q152&lt;&gt;Q150,TEXT(INDEX(Escaleta!$C$1:$C$504,Q152),"hh:mm")&amp;"–"&amp;TEXT(INDEX(Escaleta!$E$1:$E$504,Q152),"hh:mm"),"")))</f>
        <v/>
      </c>
      <c r="H152" s="49">
        <f>IF(R152=0,"",IF(R152&lt;&gt;R151,INDEX(Escaleta!$F$1:$F$504,R152),IF(R152&lt;&gt;R150,TEXT(INDEX(Escaleta!$C$1:$C$504,R152),"hh:mm")&amp;"–"&amp;TEXT(INDEX(Escaleta!$E$1:$E$504,R152),"hh:mm"),"")))</f>
        <v/>
      </c>
      <c r="I152" s="49">
        <f>IF(S152=0,"",IF(S152&lt;&gt;S151,INDEX(Escaleta!$F$1:$F$504,S152),IF(S152&lt;&gt;S150,TEXT(INDEX(Escaleta!$C$1:$C$504,S152),"hh:mm")&amp;"–"&amp;TEXT(INDEX(Escaleta!$E$1:$E$504,S152),"hh:mm"),"")))</f>
        <v/>
      </c>
      <c r="L152" s="50">
        <f>IF(OR($A152="",B$6=""),0,SUMPRODUCT(MAX((Escaleta!$A$5:$A$504=$B$4)*(Escaleta!$H$5:$H$504=B$6)*(Escaleta!$K$5:$K$504&lt;&gt;"Cancelada")*(Escaleta!$C$5:$C$504&lt;$A152+Configuración!$C$7/1440)*(Escaleta!$E$5:$E$504&gt;$A152)*ROW(Escaleta!$A$5:$A$504))))</f>
        <v/>
      </c>
      <c r="M152" s="50">
        <f>IF(OR($A152="",C$6=""),0,SUMPRODUCT(MAX((Escaleta!$A$5:$A$504=$B$4)*(Escaleta!$H$5:$H$504=C$6)*(Escaleta!$K$5:$K$504&lt;&gt;"Cancelada")*(Escaleta!$C$5:$C$504&lt;$A152+Configuración!$C$7/1440)*(Escaleta!$E$5:$E$504&gt;$A152)*ROW(Escaleta!$A$5:$A$504))))</f>
        <v/>
      </c>
      <c r="N152" s="50">
        <f>IF(OR($A152="",D$6=""),0,SUMPRODUCT(MAX((Escaleta!$A$5:$A$504=$B$4)*(Escaleta!$H$5:$H$504=D$6)*(Escaleta!$K$5:$K$504&lt;&gt;"Cancelada")*(Escaleta!$C$5:$C$504&lt;$A152+Configuración!$C$7/1440)*(Escaleta!$E$5:$E$504&gt;$A152)*ROW(Escaleta!$A$5:$A$504))))</f>
        <v/>
      </c>
      <c r="O152" s="50">
        <f>IF(OR($A152="",E$6=""),0,SUMPRODUCT(MAX((Escaleta!$A$5:$A$504=$B$4)*(Escaleta!$H$5:$H$504=E$6)*(Escaleta!$K$5:$K$504&lt;&gt;"Cancelada")*(Escaleta!$C$5:$C$504&lt;$A152+Configuración!$C$7/1440)*(Escaleta!$E$5:$E$504&gt;$A152)*ROW(Escaleta!$A$5:$A$504))))</f>
        <v/>
      </c>
      <c r="P152" s="50">
        <f>IF(OR($A152="",F$6=""),0,SUMPRODUCT(MAX((Escaleta!$A$5:$A$504=$B$4)*(Escaleta!$H$5:$H$504=F$6)*(Escaleta!$K$5:$K$504&lt;&gt;"Cancelada")*(Escaleta!$C$5:$C$504&lt;$A152+Configuración!$C$7/1440)*(Escaleta!$E$5:$E$504&gt;$A152)*ROW(Escaleta!$A$5:$A$504))))</f>
        <v/>
      </c>
      <c r="Q152" s="50">
        <f>IF(OR($A152="",G$6=""),0,SUMPRODUCT(MAX((Escaleta!$A$5:$A$504=$B$4)*(Escaleta!$H$5:$H$504=G$6)*(Escaleta!$K$5:$K$504&lt;&gt;"Cancelada")*(Escaleta!$C$5:$C$504&lt;$A152+Configuración!$C$7/1440)*(Escaleta!$E$5:$E$504&gt;$A152)*ROW(Escaleta!$A$5:$A$504))))</f>
        <v/>
      </c>
      <c r="R152" s="50">
        <f>IF(OR($A152="",H$6=""),0,SUMPRODUCT(MAX((Escaleta!$A$5:$A$504=$B$4)*(Escaleta!$H$5:$H$504=H$6)*(Escaleta!$K$5:$K$504&lt;&gt;"Cancelada")*(Escaleta!$C$5:$C$504&lt;$A152+Configuración!$C$7/1440)*(Escaleta!$E$5:$E$504&gt;$A152)*ROW(Escaleta!$A$5:$A$504))))</f>
        <v/>
      </c>
      <c r="S152" s="50">
        <f>IF(OR($A152="",I$6=""),0,SUMPRODUCT(MAX((Escaleta!$A$5:$A$504=$B$4)*(Escaleta!$H$5:$H$504=I$6)*(Escaleta!$K$5:$K$504&lt;&gt;"Cancelada")*(Escaleta!$C$5:$C$504&lt;$A152+Configuración!$C$7/1440)*(Escaleta!$E$5:$E$504&gt;$A152)*ROW(Escaleta!$A$5:$A$504))))</f>
        <v/>
      </c>
      <c r="U152" s="50">
        <f>IF(L152=0,"",INDEX(Escaleta!$I$1:$I$504,L152))</f>
        <v/>
      </c>
      <c r="V152" s="50">
        <f>IF(M152=0,"",INDEX(Escaleta!$I$1:$I$504,M152))</f>
        <v/>
      </c>
      <c r="W152" s="50">
        <f>IF(N152=0,"",INDEX(Escaleta!$I$1:$I$504,N152))</f>
        <v/>
      </c>
      <c r="X152" s="50">
        <f>IF(O152=0,"",INDEX(Escaleta!$I$1:$I$504,O152))</f>
        <v/>
      </c>
      <c r="Y152" s="50">
        <f>IF(P152=0,"",INDEX(Escaleta!$I$1:$I$504,P152))</f>
        <v/>
      </c>
      <c r="Z152" s="50">
        <f>IF(Q152=0,"",INDEX(Escaleta!$I$1:$I$504,Q152))</f>
        <v/>
      </c>
      <c r="AA152" s="50">
        <f>IF(R152=0,"",INDEX(Escaleta!$I$1:$I$504,R152))</f>
        <v/>
      </c>
      <c r="AB152" s="50">
        <f>IF(S152=0,"",INDEX(Escaleta!$I$1:$I$504,S152))</f>
        <v/>
      </c>
    </row>
    <row r="153" ht="18" customHeight="1">
      <c r="A153" s="48">
        <f>IF(A152="","",IF(A152+Configuración!$C$7/1440&gt;Configuración!$C$6-0.0001,"",A152+Configuración!$C$7/1440))</f>
        <v/>
      </c>
      <c r="B153" s="49">
        <f>IF(L153=0,"",IF(L153&lt;&gt;L152,INDEX(Escaleta!$F$1:$F$504,L153),IF(L153&lt;&gt;L151,TEXT(INDEX(Escaleta!$C$1:$C$504,L153),"hh:mm")&amp;"–"&amp;TEXT(INDEX(Escaleta!$E$1:$E$504,L153),"hh:mm"),"")))</f>
        <v/>
      </c>
      <c r="C153" s="49">
        <f>IF(M153=0,"",IF(M153&lt;&gt;M152,INDEX(Escaleta!$F$1:$F$504,M153),IF(M153&lt;&gt;M151,TEXT(INDEX(Escaleta!$C$1:$C$504,M153),"hh:mm")&amp;"–"&amp;TEXT(INDEX(Escaleta!$E$1:$E$504,M153),"hh:mm"),"")))</f>
        <v/>
      </c>
      <c r="D153" s="49">
        <f>IF(N153=0,"",IF(N153&lt;&gt;N152,INDEX(Escaleta!$F$1:$F$504,N153),IF(N153&lt;&gt;N151,TEXT(INDEX(Escaleta!$C$1:$C$504,N153),"hh:mm")&amp;"–"&amp;TEXT(INDEX(Escaleta!$E$1:$E$504,N153),"hh:mm"),"")))</f>
        <v/>
      </c>
      <c r="E153" s="49">
        <f>IF(O153=0,"",IF(O153&lt;&gt;O152,INDEX(Escaleta!$F$1:$F$504,O153),IF(O153&lt;&gt;O151,TEXT(INDEX(Escaleta!$C$1:$C$504,O153),"hh:mm")&amp;"–"&amp;TEXT(INDEX(Escaleta!$E$1:$E$504,O153),"hh:mm"),"")))</f>
        <v/>
      </c>
      <c r="F153" s="49">
        <f>IF(P153=0,"",IF(P153&lt;&gt;P152,INDEX(Escaleta!$F$1:$F$504,P153),IF(P153&lt;&gt;P151,TEXT(INDEX(Escaleta!$C$1:$C$504,P153),"hh:mm")&amp;"–"&amp;TEXT(INDEX(Escaleta!$E$1:$E$504,P153),"hh:mm"),"")))</f>
        <v/>
      </c>
      <c r="G153" s="49">
        <f>IF(Q153=0,"",IF(Q153&lt;&gt;Q152,INDEX(Escaleta!$F$1:$F$504,Q153),IF(Q153&lt;&gt;Q151,TEXT(INDEX(Escaleta!$C$1:$C$504,Q153),"hh:mm")&amp;"–"&amp;TEXT(INDEX(Escaleta!$E$1:$E$504,Q153),"hh:mm"),"")))</f>
        <v/>
      </c>
      <c r="H153" s="49">
        <f>IF(R153=0,"",IF(R153&lt;&gt;R152,INDEX(Escaleta!$F$1:$F$504,R153),IF(R153&lt;&gt;R151,TEXT(INDEX(Escaleta!$C$1:$C$504,R153),"hh:mm")&amp;"–"&amp;TEXT(INDEX(Escaleta!$E$1:$E$504,R153),"hh:mm"),"")))</f>
        <v/>
      </c>
      <c r="I153" s="49">
        <f>IF(S153=0,"",IF(S153&lt;&gt;S152,INDEX(Escaleta!$F$1:$F$504,S153),IF(S153&lt;&gt;S151,TEXT(INDEX(Escaleta!$C$1:$C$504,S153),"hh:mm")&amp;"–"&amp;TEXT(INDEX(Escaleta!$E$1:$E$504,S153),"hh:mm"),"")))</f>
        <v/>
      </c>
      <c r="L153" s="50">
        <f>IF(OR($A153="",B$6=""),0,SUMPRODUCT(MAX((Escaleta!$A$5:$A$504=$B$4)*(Escaleta!$H$5:$H$504=B$6)*(Escaleta!$K$5:$K$504&lt;&gt;"Cancelada")*(Escaleta!$C$5:$C$504&lt;$A153+Configuración!$C$7/1440)*(Escaleta!$E$5:$E$504&gt;$A153)*ROW(Escaleta!$A$5:$A$504))))</f>
        <v/>
      </c>
      <c r="M153" s="50">
        <f>IF(OR($A153="",C$6=""),0,SUMPRODUCT(MAX((Escaleta!$A$5:$A$504=$B$4)*(Escaleta!$H$5:$H$504=C$6)*(Escaleta!$K$5:$K$504&lt;&gt;"Cancelada")*(Escaleta!$C$5:$C$504&lt;$A153+Configuración!$C$7/1440)*(Escaleta!$E$5:$E$504&gt;$A153)*ROW(Escaleta!$A$5:$A$504))))</f>
        <v/>
      </c>
      <c r="N153" s="50">
        <f>IF(OR($A153="",D$6=""),0,SUMPRODUCT(MAX((Escaleta!$A$5:$A$504=$B$4)*(Escaleta!$H$5:$H$504=D$6)*(Escaleta!$K$5:$K$504&lt;&gt;"Cancelada")*(Escaleta!$C$5:$C$504&lt;$A153+Configuración!$C$7/1440)*(Escaleta!$E$5:$E$504&gt;$A153)*ROW(Escaleta!$A$5:$A$504))))</f>
        <v/>
      </c>
      <c r="O153" s="50">
        <f>IF(OR($A153="",E$6=""),0,SUMPRODUCT(MAX((Escaleta!$A$5:$A$504=$B$4)*(Escaleta!$H$5:$H$504=E$6)*(Escaleta!$K$5:$K$504&lt;&gt;"Cancelada")*(Escaleta!$C$5:$C$504&lt;$A153+Configuración!$C$7/1440)*(Escaleta!$E$5:$E$504&gt;$A153)*ROW(Escaleta!$A$5:$A$504))))</f>
        <v/>
      </c>
      <c r="P153" s="50">
        <f>IF(OR($A153="",F$6=""),0,SUMPRODUCT(MAX((Escaleta!$A$5:$A$504=$B$4)*(Escaleta!$H$5:$H$504=F$6)*(Escaleta!$K$5:$K$504&lt;&gt;"Cancelada")*(Escaleta!$C$5:$C$504&lt;$A153+Configuración!$C$7/1440)*(Escaleta!$E$5:$E$504&gt;$A153)*ROW(Escaleta!$A$5:$A$504))))</f>
        <v/>
      </c>
      <c r="Q153" s="50">
        <f>IF(OR($A153="",G$6=""),0,SUMPRODUCT(MAX((Escaleta!$A$5:$A$504=$B$4)*(Escaleta!$H$5:$H$504=G$6)*(Escaleta!$K$5:$K$504&lt;&gt;"Cancelada")*(Escaleta!$C$5:$C$504&lt;$A153+Configuración!$C$7/1440)*(Escaleta!$E$5:$E$504&gt;$A153)*ROW(Escaleta!$A$5:$A$504))))</f>
        <v/>
      </c>
      <c r="R153" s="50">
        <f>IF(OR($A153="",H$6=""),0,SUMPRODUCT(MAX((Escaleta!$A$5:$A$504=$B$4)*(Escaleta!$H$5:$H$504=H$6)*(Escaleta!$K$5:$K$504&lt;&gt;"Cancelada")*(Escaleta!$C$5:$C$504&lt;$A153+Configuración!$C$7/1440)*(Escaleta!$E$5:$E$504&gt;$A153)*ROW(Escaleta!$A$5:$A$504))))</f>
        <v/>
      </c>
      <c r="S153" s="50">
        <f>IF(OR($A153="",I$6=""),0,SUMPRODUCT(MAX((Escaleta!$A$5:$A$504=$B$4)*(Escaleta!$H$5:$H$504=I$6)*(Escaleta!$K$5:$K$504&lt;&gt;"Cancelada")*(Escaleta!$C$5:$C$504&lt;$A153+Configuración!$C$7/1440)*(Escaleta!$E$5:$E$504&gt;$A153)*ROW(Escaleta!$A$5:$A$504))))</f>
        <v/>
      </c>
      <c r="U153" s="50">
        <f>IF(L153=0,"",INDEX(Escaleta!$I$1:$I$504,L153))</f>
        <v/>
      </c>
      <c r="V153" s="50">
        <f>IF(M153=0,"",INDEX(Escaleta!$I$1:$I$504,M153))</f>
        <v/>
      </c>
      <c r="W153" s="50">
        <f>IF(N153=0,"",INDEX(Escaleta!$I$1:$I$504,N153))</f>
        <v/>
      </c>
      <c r="X153" s="50">
        <f>IF(O153=0,"",INDEX(Escaleta!$I$1:$I$504,O153))</f>
        <v/>
      </c>
      <c r="Y153" s="50">
        <f>IF(P153=0,"",INDEX(Escaleta!$I$1:$I$504,P153))</f>
        <v/>
      </c>
      <c r="Z153" s="50">
        <f>IF(Q153=0,"",INDEX(Escaleta!$I$1:$I$504,Q153))</f>
        <v/>
      </c>
      <c r="AA153" s="50">
        <f>IF(R153=0,"",INDEX(Escaleta!$I$1:$I$504,R153))</f>
        <v/>
      </c>
      <c r="AB153" s="50">
        <f>IF(S153=0,"",INDEX(Escaleta!$I$1:$I$504,S153))</f>
        <v/>
      </c>
    </row>
    <row r="154" ht="18" customHeight="1">
      <c r="A154" s="48">
        <f>IF(A153="","",IF(A153+Configuración!$C$7/1440&gt;Configuración!$C$6-0.0001,"",A153+Configuración!$C$7/1440))</f>
        <v/>
      </c>
      <c r="B154" s="49">
        <f>IF(L154=0,"",IF(L154&lt;&gt;L153,INDEX(Escaleta!$F$1:$F$504,L154),IF(L154&lt;&gt;L152,TEXT(INDEX(Escaleta!$C$1:$C$504,L154),"hh:mm")&amp;"–"&amp;TEXT(INDEX(Escaleta!$E$1:$E$504,L154),"hh:mm"),"")))</f>
        <v/>
      </c>
      <c r="C154" s="49">
        <f>IF(M154=0,"",IF(M154&lt;&gt;M153,INDEX(Escaleta!$F$1:$F$504,M154),IF(M154&lt;&gt;M152,TEXT(INDEX(Escaleta!$C$1:$C$504,M154),"hh:mm")&amp;"–"&amp;TEXT(INDEX(Escaleta!$E$1:$E$504,M154),"hh:mm"),"")))</f>
        <v/>
      </c>
      <c r="D154" s="49">
        <f>IF(N154=0,"",IF(N154&lt;&gt;N153,INDEX(Escaleta!$F$1:$F$504,N154),IF(N154&lt;&gt;N152,TEXT(INDEX(Escaleta!$C$1:$C$504,N154),"hh:mm")&amp;"–"&amp;TEXT(INDEX(Escaleta!$E$1:$E$504,N154),"hh:mm"),"")))</f>
        <v/>
      </c>
      <c r="E154" s="49">
        <f>IF(O154=0,"",IF(O154&lt;&gt;O153,INDEX(Escaleta!$F$1:$F$504,O154),IF(O154&lt;&gt;O152,TEXT(INDEX(Escaleta!$C$1:$C$504,O154),"hh:mm")&amp;"–"&amp;TEXT(INDEX(Escaleta!$E$1:$E$504,O154),"hh:mm"),"")))</f>
        <v/>
      </c>
      <c r="F154" s="49">
        <f>IF(P154=0,"",IF(P154&lt;&gt;P153,INDEX(Escaleta!$F$1:$F$504,P154),IF(P154&lt;&gt;P152,TEXT(INDEX(Escaleta!$C$1:$C$504,P154),"hh:mm")&amp;"–"&amp;TEXT(INDEX(Escaleta!$E$1:$E$504,P154),"hh:mm"),"")))</f>
        <v/>
      </c>
      <c r="G154" s="49">
        <f>IF(Q154=0,"",IF(Q154&lt;&gt;Q153,INDEX(Escaleta!$F$1:$F$504,Q154),IF(Q154&lt;&gt;Q152,TEXT(INDEX(Escaleta!$C$1:$C$504,Q154),"hh:mm")&amp;"–"&amp;TEXT(INDEX(Escaleta!$E$1:$E$504,Q154),"hh:mm"),"")))</f>
        <v/>
      </c>
      <c r="H154" s="49">
        <f>IF(R154=0,"",IF(R154&lt;&gt;R153,INDEX(Escaleta!$F$1:$F$504,R154),IF(R154&lt;&gt;R152,TEXT(INDEX(Escaleta!$C$1:$C$504,R154),"hh:mm")&amp;"–"&amp;TEXT(INDEX(Escaleta!$E$1:$E$504,R154),"hh:mm"),"")))</f>
        <v/>
      </c>
      <c r="I154" s="49">
        <f>IF(S154=0,"",IF(S154&lt;&gt;S153,INDEX(Escaleta!$F$1:$F$504,S154),IF(S154&lt;&gt;S152,TEXT(INDEX(Escaleta!$C$1:$C$504,S154),"hh:mm")&amp;"–"&amp;TEXT(INDEX(Escaleta!$E$1:$E$504,S154),"hh:mm"),"")))</f>
        <v/>
      </c>
      <c r="L154" s="50">
        <f>IF(OR($A154="",B$6=""),0,SUMPRODUCT(MAX((Escaleta!$A$5:$A$504=$B$4)*(Escaleta!$H$5:$H$504=B$6)*(Escaleta!$K$5:$K$504&lt;&gt;"Cancelada")*(Escaleta!$C$5:$C$504&lt;$A154+Configuración!$C$7/1440)*(Escaleta!$E$5:$E$504&gt;$A154)*ROW(Escaleta!$A$5:$A$504))))</f>
        <v/>
      </c>
      <c r="M154" s="50">
        <f>IF(OR($A154="",C$6=""),0,SUMPRODUCT(MAX((Escaleta!$A$5:$A$504=$B$4)*(Escaleta!$H$5:$H$504=C$6)*(Escaleta!$K$5:$K$504&lt;&gt;"Cancelada")*(Escaleta!$C$5:$C$504&lt;$A154+Configuración!$C$7/1440)*(Escaleta!$E$5:$E$504&gt;$A154)*ROW(Escaleta!$A$5:$A$504))))</f>
        <v/>
      </c>
      <c r="N154" s="50">
        <f>IF(OR($A154="",D$6=""),0,SUMPRODUCT(MAX((Escaleta!$A$5:$A$504=$B$4)*(Escaleta!$H$5:$H$504=D$6)*(Escaleta!$K$5:$K$504&lt;&gt;"Cancelada")*(Escaleta!$C$5:$C$504&lt;$A154+Configuración!$C$7/1440)*(Escaleta!$E$5:$E$504&gt;$A154)*ROW(Escaleta!$A$5:$A$504))))</f>
        <v/>
      </c>
      <c r="O154" s="50">
        <f>IF(OR($A154="",E$6=""),0,SUMPRODUCT(MAX((Escaleta!$A$5:$A$504=$B$4)*(Escaleta!$H$5:$H$504=E$6)*(Escaleta!$K$5:$K$504&lt;&gt;"Cancelada")*(Escaleta!$C$5:$C$504&lt;$A154+Configuración!$C$7/1440)*(Escaleta!$E$5:$E$504&gt;$A154)*ROW(Escaleta!$A$5:$A$504))))</f>
        <v/>
      </c>
      <c r="P154" s="50">
        <f>IF(OR($A154="",F$6=""),0,SUMPRODUCT(MAX((Escaleta!$A$5:$A$504=$B$4)*(Escaleta!$H$5:$H$504=F$6)*(Escaleta!$K$5:$K$504&lt;&gt;"Cancelada")*(Escaleta!$C$5:$C$504&lt;$A154+Configuración!$C$7/1440)*(Escaleta!$E$5:$E$504&gt;$A154)*ROW(Escaleta!$A$5:$A$504))))</f>
        <v/>
      </c>
      <c r="Q154" s="50">
        <f>IF(OR($A154="",G$6=""),0,SUMPRODUCT(MAX((Escaleta!$A$5:$A$504=$B$4)*(Escaleta!$H$5:$H$504=G$6)*(Escaleta!$K$5:$K$504&lt;&gt;"Cancelada")*(Escaleta!$C$5:$C$504&lt;$A154+Configuración!$C$7/1440)*(Escaleta!$E$5:$E$504&gt;$A154)*ROW(Escaleta!$A$5:$A$504))))</f>
        <v/>
      </c>
      <c r="R154" s="50">
        <f>IF(OR($A154="",H$6=""),0,SUMPRODUCT(MAX((Escaleta!$A$5:$A$504=$B$4)*(Escaleta!$H$5:$H$504=H$6)*(Escaleta!$K$5:$K$504&lt;&gt;"Cancelada")*(Escaleta!$C$5:$C$504&lt;$A154+Configuración!$C$7/1440)*(Escaleta!$E$5:$E$504&gt;$A154)*ROW(Escaleta!$A$5:$A$504))))</f>
        <v/>
      </c>
      <c r="S154" s="50">
        <f>IF(OR($A154="",I$6=""),0,SUMPRODUCT(MAX((Escaleta!$A$5:$A$504=$B$4)*(Escaleta!$H$5:$H$504=I$6)*(Escaleta!$K$5:$K$504&lt;&gt;"Cancelada")*(Escaleta!$C$5:$C$504&lt;$A154+Configuración!$C$7/1440)*(Escaleta!$E$5:$E$504&gt;$A154)*ROW(Escaleta!$A$5:$A$504))))</f>
        <v/>
      </c>
      <c r="U154" s="50">
        <f>IF(L154=0,"",INDEX(Escaleta!$I$1:$I$504,L154))</f>
        <v/>
      </c>
      <c r="V154" s="50">
        <f>IF(M154=0,"",INDEX(Escaleta!$I$1:$I$504,M154))</f>
        <v/>
      </c>
      <c r="W154" s="50">
        <f>IF(N154=0,"",INDEX(Escaleta!$I$1:$I$504,N154))</f>
        <v/>
      </c>
      <c r="X154" s="50">
        <f>IF(O154=0,"",INDEX(Escaleta!$I$1:$I$504,O154))</f>
        <v/>
      </c>
      <c r="Y154" s="50">
        <f>IF(P154=0,"",INDEX(Escaleta!$I$1:$I$504,P154))</f>
        <v/>
      </c>
      <c r="Z154" s="50">
        <f>IF(Q154=0,"",INDEX(Escaleta!$I$1:$I$504,Q154))</f>
        <v/>
      </c>
      <c r="AA154" s="50">
        <f>IF(R154=0,"",INDEX(Escaleta!$I$1:$I$504,R154))</f>
        <v/>
      </c>
      <c r="AB154" s="50">
        <f>IF(S154=0,"",INDEX(Escaleta!$I$1:$I$504,S154))</f>
        <v/>
      </c>
    </row>
    <row r="155" ht="18" customHeight="1">
      <c r="A155" s="48">
        <f>IF(A154="","",IF(A154+Configuración!$C$7/1440&gt;Configuración!$C$6-0.0001,"",A154+Configuración!$C$7/1440))</f>
        <v/>
      </c>
      <c r="B155" s="49">
        <f>IF(L155=0,"",IF(L155&lt;&gt;L154,INDEX(Escaleta!$F$1:$F$504,L155),IF(L155&lt;&gt;L153,TEXT(INDEX(Escaleta!$C$1:$C$504,L155),"hh:mm")&amp;"–"&amp;TEXT(INDEX(Escaleta!$E$1:$E$504,L155),"hh:mm"),"")))</f>
        <v/>
      </c>
      <c r="C155" s="49">
        <f>IF(M155=0,"",IF(M155&lt;&gt;M154,INDEX(Escaleta!$F$1:$F$504,M155),IF(M155&lt;&gt;M153,TEXT(INDEX(Escaleta!$C$1:$C$504,M155),"hh:mm")&amp;"–"&amp;TEXT(INDEX(Escaleta!$E$1:$E$504,M155),"hh:mm"),"")))</f>
        <v/>
      </c>
      <c r="D155" s="49">
        <f>IF(N155=0,"",IF(N155&lt;&gt;N154,INDEX(Escaleta!$F$1:$F$504,N155),IF(N155&lt;&gt;N153,TEXT(INDEX(Escaleta!$C$1:$C$504,N155),"hh:mm")&amp;"–"&amp;TEXT(INDEX(Escaleta!$E$1:$E$504,N155),"hh:mm"),"")))</f>
        <v/>
      </c>
      <c r="E155" s="49">
        <f>IF(O155=0,"",IF(O155&lt;&gt;O154,INDEX(Escaleta!$F$1:$F$504,O155),IF(O155&lt;&gt;O153,TEXT(INDEX(Escaleta!$C$1:$C$504,O155),"hh:mm")&amp;"–"&amp;TEXT(INDEX(Escaleta!$E$1:$E$504,O155),"hh:mm"),"")))</f>
        <v/>
      </c>
      <c r="F155" s="49">
        <f>IF(P155=0,"",IF(P155&lt;&gt;P154,INDEX(Escaleta!$F$1:$F$504,P155),IF(P155&lt;&gt;P153,TEXT(INDEX(Escaleta!$C$1:$C$504,P155),"hh:mm")&amp;"–"&amp;TEXT(INDEX(Escaleta!$E$1:$E$504,P155),"hh:mm"),"")))</f>
        <v/>
      </c>
      <c r="G155" s="49">
        <f>IF(Q155=0,"",IF(Q155&lt;&gt;Q154,INDEX(Escaleta!$F$1:$F$504,Q155),IF(Q155&lt;&gt;Q153,TEXT(INDEX(Escaleta!$C$1:$C$504,Q155),"hh:mm")&amp;"–"&amp;TEXT(INDEX(Escaleta!$E$1:$E$504,Q155),"hh:mm"),"")))</f>
        <v/>
      </c>
      <c r="H155" s="49">
        <f>IF(R155=0,"",IF(R155&lt;&gt;R154,INDEX(Escaleta!$F$1:$F$504,R155),IF(R155&lt;&gt;R153,TEXT(INDEX(Escaleta!$C$1:$C$504,R155),"hh:mm")&amp;"–"&amp;TEXT(INDEX(Escaleta!$E$1:$E$504,R155),"hh:mm"),"")))</f>
        <v/>
      </c>
      <c r="I155" s="49">
        <f>IF(S155=0,"",IF(S155&lt;&gt;S154,INDEX(Escaleta!$F$1:$F$504,S155),IF(S155&lt;&gt;S153,TEXT(INDEX(Escaleta!$C$1:$C$504,S155),"hh:mm")&amp;"–"&amp;TEXT(INDEX(Escaleta!$E$1:$E$504,S155),"hh:mm"),"")))</f>
        <v/>
      </c>
      <c r="L155" s="50">
        <f>IF(OR($A155="",B$6=""),0,SUMPRODUCT(MAX((Escaleta!$A$5:$A$504=$B$4)*(Escaleta!$H$5:$H$504=B$6)*(Escaleta!$K$5:$K$504&lt;&gt;"Cancelada")*(Escaleta!$C$5:$C$504&lt;$A155+Configuración!$C$7/1440)*(Escaleta!$E$5:$E$504&gt;$A155)*ROW(Escaleta!$A$5:$A$504))))</f>
        <v/>
      </c>
      <c r="M155" s="50">
        <f>IF(OR($A155="",C$6=""),0,SUMPRODUCT(MAX((Escaleta!$A$5:$A$504=$B$4)*(Escaleta!$H$5:$H$504=C$6)*(Escaleta!$K$5:$K$504&lt;&gt;"Cancelada")*(Escaleta!$C$5:$C$504&lt;$A155+Configuración!$C$7/1440)*(Escaleta!$E$5:$E$504&gt;$A155)*ROW(Escaleta!$A$5:$A$504))))</f>
        <v/>
      </c>
      <c r="N155" s="50">
        <f>IF(OR($A155="",D$6=""),0,SUMPRODUCT(MAX((Escaleta!$A$5:$A$504=$B$4)*(Escaleta!$H$5:$H$504=D$6)*(Escaleta!$K$5:$K$504&lt;&gt;"Cancelada")*(Escaleta!$C$5:$C$504&lt;$A155+Configuración!$C$7/1440)*(Escaleta!$E$5:$E$504&gt;$A155)*ROW(Escaleta!$A$5:$A$504))))</f>
        <v/>
      </c>
      <c r="O155" s="50">
        <f>IF(OR($A155="",E$6=""),0,SUMPRODUCT(MAX((Escaleta!$A$5:$A$504=$B$4)*(Escaleta!$H$5:$H$504=E$6)*(Escaleta!$K$5:$K$504&lt;&gt;"Cancelada")*(Escaleta!$C$5:$C$504&lt;$A155+Configuración!$C$7/1440)*(Escaleta!$E$5:$E$504&gt;$A155)*ROW(Escaleta!$A$5:$A$504))))</f>
        <v/>
      </c>
      <c r="P155" s="50">
        <f>IF(OR($A155="",F$6=""),0,SUMPRODUCT(MAX((Escaleta!$A$5:$A$504=$B$4)*(Escaleta!$H$5:$H$504=F$6)*(Escaleta!$K$5:$K$504&lt;&gt;"Cancelada")*(Escaleta!$C$5:$C$504&lt;$A155+Configuración!$C$7/1440)*(Escaleta!$E$5:$E$504&gt;$A155)*ROW(Escaleta!$A$5:$A$504))))</f>
        <v/>
      </c>
      <c r="Q155" s="50">
        <f>IF(OR($A155="",G$6=""),0,SUMPRODUCT(MAX((Escaleta!$A$5:$A$504=$B$4)*(Escaleta!$H$5:$H$504=G$6)*(Escaleta!$K$5:$K$504&lt;&gt;"Cancelada")*(Escaleta!$C$5:$C$504&lt;$A155+Configuración!$C$7/1440)*(Escaleta!$E$5:$E$504&gt;$A155)*ROW(Escaleta!$A$5:$A$504))))</f>
        <v/>
      </c>
      <c r="R155" s="50">
        <f>IF(OR($A155="",H$6=""),0,SUMPRODUCT(MAX((Escaleta!$A$5:$A$504=$B$4)*(Escaleta!$H$5:$H$504=H$6)*(Escaleta!$K$5:$K$504&lt;&gt;"Cancelada")*(Escaleta!$C$5:$C$504&lt;$A155+Configuración!$C$7/1440)*(Escaleta!$E$5:$E$504&gt;$A155)*ROW(Escaleta!$A$5:$A$504))))</f>
        <v/>
      </c>
      <c r="S155" s="50">
        <f>IF(OR($A155="",I$6=""),0,SUMPRODUCT(MAX((Escaleta!$A$5:$A$504=$B$4)*(Escaleta!$H$5:$H$504=I$6)*(Escaleta!$K$5:$K$504&lt;&gt;"Cancelada")*(Escaleta!$C$5:$C$504&lt;$A155+Configuración!$C$7/1440)*(Escaleta!$E$5:$E$504&gt;$A155)*ROW(Escaleta!$A$5:$A$504))))</f>
        <v/>
      </c>
      <c r="U155" s="50">
        <f>IF(L155=0,"",INDEX(Escaleta!$I$1:$I$504,L155))</f>
        <v/>
      </c>
      <c r="V155" s="50">
        <f>IF(M155=0,"",INDEX(Escaleta!$I$1:$I$504,M155))</f>
        <v/>
      </c>
      <c r="W155" s="50">
        <f>IF(N155=0,"",INDEX(Escaleta!$I$1:$I$504,N155))</f>
        <v/>
      </c>
      <c r="X155" s="50">
        <f>IF(O155=0,"",INDEX(Escaleta!$I$1:$I$504,O155))</f>
        <v/>
      </c>
      <c r="Y155" s="50">
        <f>IF(P155=0,"",INDEX(Escaleta!$I$1:$I$504,P155))</f>
        <v/>
      </c>
      <c r="Z155" s="50">
        <f>IF(Q155=0,"",INDEX(Escaleta!$I$1:$I$504,Q155))</f>
        <v/>
      </c>
      <c r="AA155" s="50">
        <f>IF(R155=0,"",INDEX(Escaleta!$I$1:$I$504,R155))</f>
        <v/>
      </c>
      <c r="AB155" s="50">
        <f>IF(S155=0,"",INDEX(Escaleta!$I$1:$I$504,S155))</f>
        <v/>
      </c>
    </row>
    <row r="156" ht="18" customHeight="1">
      <c r="A156" s="48">
        <f>IF(A155="","",IF(A155+Configuración!$C$7/1440&gt;Configuración!$C$6-0.0001,"",A155+Configuración!$C$7/1440))</f>
        <v/>
      </c>
      <c r="B156" s="49">
        <f>IF(L156=0,"",IF(L156&lt;&gt;L155,INDEX(Escaleta!$F$1:$F$504,L156),IF(L156&lt;&gt;L154,TEXT(INDEX(Escaleta!$C$1:$C$504,L156),"hh:mm")&amp;"–"&amp;TEXT(INDEX(Escaleta!$E$1:$E$504,L156),"hh:mm"),"")))</f>
        <v/>
      </c>
      <c r="C156" s="49">
        <f>IF(M156=0,"",IF(M156&lt;&gt;M155,INDEX(Escaleta!$F$1:$F$504,M156),IF(M156&lt;&gt;M154,TEXT(INDEX(Escaleta!$C$1:$C$504,M156),"hh:mm")&amp;"–"&amp;TEXT(INDEX(Escaleta!$E$1:$E$504,M156),"hh:mm"),"")))</f>
        <v/>
      </c>
      <c r="D156" s="49">
        <f>IF(N156=0,"",IF(N156&lt;&gt;N155,INDEX(Escaleta!$F$1:$F$504,N156),IF(N156&lt;&gt;N154,TEXT(INDEX(Escaleta!$C$1:$C$504,N156),"hh:mm")&amp;"–"&amp;TEXT(INDEX(Escaleta!$E$1:$E$504,N156),"hh:mm"),"")))</f>
        <v/>
      </c>
      <c r="E156" s="49">
        <f>IF(O156=0,"",IF(O156&lt;&gt;O155,INDEX(Escaleta!$F$1:$F$504,O156),IF(O156&lt;&gt;O154,TEXT(INDEX(Escaleta!$C$1:$C$504,O156),"hh:mm")&amp;"–"&amp;TEXT(INDEX(Escaleta!$E$1:$E$504,O156),"hh:mm"),"")))</f>
        <v/>
      </c>
      <c r="F156" s="49">
        <f>IF(P156=0,"",IF(P156&lt;&gt;P155,INDEX(Escaleta!$F$1:$F$504,P156),IF(P156&lt;&gt;P154,TEXT(INDEX(Escaleta!$C$1:$C$504,P156),"hh:mm")&amp;"–"&amp;TEXT(INDEX(Escaleta!$E$1:$E$504,P156),"hh:mm"),"")))</f>
        <v/>
      </c>
      <c r="G156" s="49">
        <f>IF(Q156=0,"",IF(Q156&lt;&gt;Q155,INDEX(Escaleta!$F$1:$F$504,Q156),IF(Q156&lt;&gt;Q154,TEXT(INDEX(Escaleta!$C$1:$C$504,Q156),"hh:mm")&amp;"–"&amp;TEXT(INDEX(Escaleta!$E$1:$E$504,Q156),"hh:mm"),"")))</f>
        <v/>
      </c>
      <c r="H156" s="49">
        <f>IF(R156=0,"",IF(R156&lt;&gt;R155,INDEX(Escaleta!$F$1:$F$504,R156),IF(R156&lt;&gt;R154,TEXT(INDEX(Escaleta!$C$1:$C$504,R156),"hh:mm")&amp;"–"&amp;TEXT(INDEX(Escaleta!$E$1:$E$504,R156),"hh:mm"),"")))</f>
        <v/>
      </c>
      <c r="I156" s="49">
        <f>IF(S156=0,"",IF(S156&lt;&gt;S155,INDEX(Escaleta!$F$1:$F$504,S156),IF(S156&lt;&gt;S154,TEXT(INDEX(Escaleta!$C$1:$C$504,S156),"hh:mm")&amp;"–"&amp;TEXT(INDEX(Escaleta!$E$1:$E$504,S156),"hh:mm"),"")))</f>
        <v/>
      </c>
      <c r="L156" s="50">
        <f>IF(OR($A156="",B$6=""),0,SUMPRODUCT(MAX((Escaleta!$A$5:$A$504=$B$4)*(Escaleta!$H$5:$H$504=B$6)*(Escaleta!$K$5:$K$504&lt;&gt;"Cancelada")*(Escaleta!$C$5:$C$504&lt;$A156+Configuración!$C$7/1440)*(Escaleta!$E$5:$E$504&gt;$A156)*ROW(Escaleta!$A$5:$A$504))))</f>
        <v/>
      </c>
      <c r="M156" s="50">
        <f>IF(OR($A156="",C$6=""),0,SUMPRODUCT(MAX((Escaleta!$A$5:$A$504=$B$4)*(Escaleta!$H$5:$H$504=C$6)*(Escaleta!$K$5:$K$504&lt;&gt;"Cancelada")*(Escaleta!$C$5:$C$504&lt;$A156+Configuración!$C$7/1440)*(Escaleta!$E$5:$E$504&gt;$A156)*ROW(Escaleta!$A$5:$A$504))))</f>
        <v/>
      </c>
      <c r="N156" s="50">
        <f>IF(OR($A156="",D$6=""),0,SUMPRODUCT(MAX((Escaleta!$A$5:$A$504=$B$4)*(Escaleta!$H$5:$H$504=D$6)*(Escaleta!$K$5:$K$504&lt;&gt;"Cancelada")*(Escaleta!$C$5:$C$504&lt;$A156+Configuración!$C$7/1440)*(Escaleta!$E$5:$E$504&gt;$A156)*ROW(Escaleta!$A$5:$A$504))))</f>
        <v/>
      </c>
      <c r="O156" s="50">
        <f>IF(OR($A156="",E$6=""),0,SUMPRODUCT(MAX((Escaleta!$A$5:$A$504=$B$4)*(Escaleta!$H$5:$H$504=E$6)*(Escaleta!$K$5:$K$504&lt;&gt;"Cancelada")*(Escaleta!$C$5:$C$504&lt;$A156+Configuración!$C$7/1440)*(Escaleta!$E$5:$E$504&gt;$A156)*ROW(Escaleta!$A$5:$A$504))))</f>
        <v/>
      </c>
      <c r="P156" s="50">
        <f>IF(OR($A156="",F$6=""),0,SUMPRODUCT(MAX((Escaleta!$A$5:$A$504=$B$4)*(Escaleta!$H$5:$H$504=F$6)*(Escaleta!$K$5:$K$504&lt;&gt;"Cancelada")*(Escaleta!$C$5:$C$504&lt;$A156+Configuración!$C$7/1440)*(Escaleta!$E$5:$E$504&gt;$A156)*ROW(Escaleta!$A$5:$A$504))))</f>
        <v/>
      </c>
      <c r="Q156" s="50">
        <f>IF(OR($A156="",G$6=""),0,SUMPRODUCT(MAX((Escaleta!$A$5:$A$504=$B$4)*(Escaleta!$H$5:$H$504=G$6)*(Escaleta!$K$5:$K$504&lt;&gt;"Cancelada")*(Escaleta!$C$5:$C$504&lt;$A156+Configuración!$C$7/1440)*(Escaleta!$E$5:$E$504&gt;$A156)*ROW(Escaleta!$A$5:$A$504))))</f>
        <v/>
      </c>
      <c r="R156" s="50">
        <f>IF(OR($A156="",H$6=""),0,SUMPRODUCT(MAX((Escaleta!$A$5:$A$504=$B$4)*(Escaleta!$H$5:$H$504=H$6)*(Escaleta!$K$5:$K$504&lt;&gt;"Cancelada")*(Escaleta!$C$5:$C$504&lt;$A156+Configuración!$C$7/1440)*(Escaleta!$E$5:$E$504&gt;$A156)*ROW(Escaleta!$A$5:$A$504))))</f>
        <v/>
      </c>
      <c r="S156" s="50">
        <f>IF(OR($A156="",I$6=""),0,SUMPRODUCT(MAX((Escaleta!$A$5:$A$504=$B$4)*(Escaleta!$H$5:$H$504=I$6)*(Escaleta!$K$5:$K$504&lt;&gt;"Cancelada")*(Escaleta!$C$5:$C$504&lt;$A156+Configuración!$C$7/1440)*(Escaleta!$E$5:$E$504&gt;$A156)*ROW(Escaleta!$A$5:$A$504))))</f>
        <v/>
      </c>
      <c r="U156" s="50">
        <f>IF(L156=0,"",INDEX(Escaleta!$I$1:$I$504,L156))</f>
        <v/>
      </c>
      <c r="V156" s="50">
        <f>IF(M156=0,"",INDEX(Escaleta!$I$1:$I$504,M156))</f>
        <v/>
      </c>
      <c r="W156" s="50">
        <f>IF(N156=0,"",INDEX(Escaleta!$I$1:$I$504,N156))</f>
        <v/>
      </c>
      <c r="X156" s="50">
        <f>IF(O156=0,"",INDEX(Escaleta!$I$1:$I$504,O156))</f>
        <v/>
      </c>
      <c r="Y156" s="50">
        <f>IF(P156=0,"",INDEX(Escaleta!$I$1:$I$504,P156))</f>
        <v/>
      </c>
      <c r="Z156" s="50">
        <f>IF(Q156=0,"",INDEX(Escaleta!$I$1:$I$504,Q156))</f>
        <v/>
      </c>
      <c r="AA156" s="50">
        <f>IF(R156=0,"",INDEX(Escaleta!$I$1:$I$504,R156))</f>
        <v/>
      </c>
      <c r="AB156" s="50">
        <f>IF(S156=0,"",INDEX(Escaleta!$I$1:$I$504,S156))</f>
        <v/>
      </c>
    </row>
    <row r="157" ht="18" customHeight="1">
      <c r="A157" s="48">
        <f>IF(A156="","",IF(A156+Configuración!$C$7/1440&gt;Configuración!$C$6-0.0001,"",A156+Configuración!$C$7/1440))</f>
        <v/>
      </c>
      <c r="B157" s="49">
        <f>IF(L157=0,"",IF(L157&lt;&gt;L156,INDEX(Escaleta!$F$1:$F$504,L157),IF(L157&lt;&gt;L155,TEXT(INDEX(Escaleta!$C$1:$C$504,L157),"hh:mm")&amp;"–"&amp;TEXT(INDEX(Escaleta!$E$1:$E$504,L157),"hh:mm"),"")))</f>
        <v/>
      </c>
      <c r="C157" s="49">
        <f>IF(M157=0,"",IF(M157&lt;&gt;M156,INDEX(Escaleta!$F$1:$F$504,M157),IF(M157&lt;&gt;M155,TEXT(INDEX(Escaleta!$C$1:$C$504,M157),"hh:mm")&amp;"–"&amp;TEXT(INDEX(Escaleta!$E$1:$E$504,M157),"hh:mm"),"")))</f>
        <v/>
      </c>
      <c r="D157" s="49">
        <f>IF(N157=0,"",IF(N157&lt;&gt;N156,INDEX(Escaleta!$F$1:$F$504,N157),IF(N157&lt;&gt;N155,TEXT(INDEX(Escaleta!$C$1:$C$504,N157),"hh:mm")&amp;"–"&amp;TEXT(INDEX(Escaleta!$E$1:$E$504,N157),"hh:mm"),"")))</f>
        <v/>
      </c>
      <c r="E157" s="49">
        <f>IF(O157=0,"",IF(O157&lt;&gt;O156,INDEX(Escaleta!$F$1:$F$504,O157),IF(O157&lt;&gt;O155,TEXT(INDEX(Escaleta!$C$1:$C$504,O157),"hh:mm")&amp;"–"&amp;TEXT(INDEX(Escaleta!$E$1:$E$504,O157),"hh:mm"),"")))</f>
        <v/>
      </c>
      <c r="F157" s="49">
        <f>IF(P157=0,"",IF(P157&lt;&gt;P156,INDEX(Escaleta!$F$1:$F$504,P157),IF(P157&lt;&gt;P155,TEXT(INDEX(Escaleta!$C$1:$C$504,P157),"hh:mm")&amp;"–"&amp;TEXT(INDEX(Escaleta!$E$1:$E$504,P157),"hh:mm"),"")))</f>
        <v/>
      </c>
      <c r="G157" s="49">
        <f>IF(Q157=0,"",IF(Q157&lt;&gt;Q156,INDEX(Escaleta!$F$1:$F$504,Q157),IF(Q157&lt;&gt;Q155,TEXT(INDEX(Escaleta!$C$1:$C$504,Q157),"hh:mm")&amp;"–"&amp;TEXT(INDEX(Escaleta!$E$1:$E$504,Q157),"hh:mm"),"")))</f>
        <v/>
      </c>
      <c r="H157" s="49">
        <f>IF(R157=0,"",IF(R157&lt;&gt;R156,INDEX(Escaleta!$F$1:$F$504,R157),IF(R157&lt;&gt;R155,TEXT(INDEX(Escaleta!$C$1:$C$504,R157),"hh:mm")&amp;"–"&amp;TEXT(INDEX(Escaleta!$E$1:$E$504,R157),"hh:mm"),"")))</f>
        <v/>
      </c>
      <c r="I157" s="49">
        <f>IF(S157=0,"",IF(S157&lt;&gt;S156,INDEX(Escaleta!$F$1:$F$504,S157),IF(S157&lt;&gt;S155,TEXT(INDEX(Escaleta!$C$1:$C$504,S157),"hh:mm")&amp;"–"&amp;TEXT(INDEX(Escaleta!$E$1:$E$504,S157),"hh:mm"),"")))</f>
        <v/>
      </c>
      <c r="L157" s="50">
        <f>IF(OR($A157="",B$6=""),0,SUMPRODUCT(MAX((Escaleta!$A$5:$A$504=$B$4)*(Escaleta!$H$5:$H$504=B$6)*(Escaleta!$K$5:$K$504&lt;&gt;"Cancelada")*(Escaleta!$C$5:$C$504&lt;$A157+Configuración!$C$7/1440)*(Escaleta!$E$5:$E$504&gt;$A157)*ROW(Escaleta!$A$5:$A$504))))</f>
        <v/>
      </c>
      <c r="M157" s="50">
        <f>IF(OR($A157="",C$6=""),0,SUMPRODUCT(MAX((Escaleta!$A$5:$A$504=$B$4)*(Escaleta!$H$5:$H$504=C$6)*(Escaleta!$K$5:$K$504&lt;&gt;"Cancelada")*(Escaleta!$C$5:$C$504&lt;$A157+Configuración!$C$7/1440)*(Escaleta!$E$5:$E$504&gt;$A157)*ROW(Escaleta!$A$5:$A$504))))</f>
        <v/>
      </c>
      <c r="N157" s="50">
        <f>IF(OR($A157="",D$6=""),0,SUMPRODUCT(MAX((Escaleta!$A$5:$A$504=$B$4)*(Escaleta!$H$5:$H$504=D$6)*(Escaleta!$K$5:$K$504&lt;&gt;"Cancelada")*(Escaleta!$C$5:$C$504&lt;$A157+Configuración!$C$7/1440)*(Escaleta!$E$5:$E$504&gt;$A157)*ROW(Escaleta!$A$5:$A$504))))</f>
        <v/>
      </c>
      <c r="O157" s="50">
        <f>IF(OR($A157="",E$6=""),0,SUMPRODUCT(MAX((Escaleta!$A$5:$A$504=$B$4)*(Escaleta!$H$5:$H$504=E$6)*(Escaleta!$K$5:$K$504&lt;&gt;"Cancelada")*(Escaleta!$C$5:$C$504&lt;$A157+Configuración!$C$7/1440)*(Escaleta!$E$5:$E$504&gt;$A157)*ROW(Escaleta!$A$5:$A$504))))</f>
        <v/>
      </c>
      <c r="P157" s="50">
        <f>IF(OR($A157="",F$6=""),0,SUMPRODUCT(MAX((Escaleta!$A$5:$A$504=$B$4)*(Escaleta!$H$5:$H$504=F$6)*(Escaleta!$K$5:$K$504&lt;&gt;"Cancelada")*(Escaleta!$C$5:$C$504&lt;$A157+Configuración!$C$7/1440)*(Escaleta!$E$5:$E$504&gt;$A157)*ROW(Escaleta!$A$5:$A$504))))</f>
        <v/>
      </c>
      <c r="Q157" s="50">
        <f>IF(OR($A157="",G$6=""),0,SUMPRODUCT(MAX((Escaleta!$A$5:$A$504=$B$4)*(Escaleta!$H$5:$H$504=G$6)*(Escaleta!$K$5:$K$504&lt;&gt;"Cancelada")*(Escaleta!$C$5:$C$504&lt;$A157+Configuración!$C$7/1440)*(Escaleta!$E$5:$E$504&gt;$A157)*ROW(Escaleta!$A$5:$A$504))))</f>
        <v/>
      </c>
      <c r="R157" s="50">
        <f>IF(OR($A157="",H$6=""),0,SUMPRODUCT(MAX((Escaleta!$A$5:$A$504=$B$4)*(Escaleta!$H$5:$H$504=H$6)*(Escaleta!$K$5:$K$504&lt;&gt;"Cancelada")*(Escaleta!$C$5:$C$504&lt;$A157+Configuración!$C$7/1440)*(Escaleta!$E$5:$E$504&gt;$A157)*ROW(Escaleta!$A$5:$A$504))))</f>
        <v/>
      </c>
      <c r="S157" s="50">
        <f>IF(OR($A157="",I$6=""),0,SUMPRODUCT(MAX((Escaleta!$A$5:$A$504=$B$4)*(Escaleta!$H$5:$H$504=I$6)*(Escaleta!$K$5:$K$504&lt;&gt;"Cancelada")*(Escaleta!$C$5:$C$504&lt;$A157+Configuración!$C$7/1440)*(Escaleta!$E$5:$E$504&gt;$A157)*ROW(Escaleta!$A$5:$A$504))))</f>
        <v/>
      </c>
      <c r="U157" s="50">
        <f>IF(L157=0,"",INDEX(Escaleta!$I$1:$I$504,L157))</f>
        <v/>
      </c>
      <c r="V157" s="50">
        <f>IF(M157=0,"",INDEX(Escaleta!$I$1:$I$504,M157))</f>
        <v/>
      </c>
      <c r="W157" s="50">
        <f>IF(N157=0,"",INDEX(Escaleta!$I$1:$I$504,N157))</f>
        <v/>
      </c>
      <c r="X157" s="50">
        <f>IF(O157=0,"",INDEX(Escaleta!$I$1:$I$504,O157))</f>
        <v/>
      </c>
      <c r="Y157" s="50">
        <f>IF(P157=0,"",INDEX(Escaleta!$I$1:$I$504,P157))</f>
        <v/>
      </c>
      <c r="Z157" s="50">
        <f>IF(Q157=0,"",INDEX(Escaleta!$I$1:$I$504,Q157))</f>
        <v/>
      </c>
      <c r="AA157" s="50">
        <f>IF(R157=0,"",INDEX(Escaleta!$I$1:$I$504,R157))</f>
        <v/>
      </c>
      <c r="AB157" s="50">
        <f>IF(S157=0,"",INDEX(Escaleta!$I$1:$I$504,S157))</f>
        <v/>
      </c>
    </row>
    <row r="158" ht="18" customHeight="1">
      <c r="A158" s="48">
        <f>IF(A157="","",IF(A157+Configuración!$C$7/1440&gt;Configuración!$C$6-0.0001,"",A157+Configuración!$C$7/1440))</f>
        <v/>
      </c>
      <c r="B158" s="49">
        <f>IF(L158=0,"",IF(L158&lt;&gt;L157,INDEX(Escaleta!$F$1:$F$504,L158),IF(L158&lt;&gt;L156,TEXT(INDEX(Escaleta!$C$1:$C$504,L158),"hh:mm")&amp;"–"&amp;TEXT(INDEX(Escaleta!$E$1:$E$504,L158),"hh:mm"),"")))</f>
        <v/>
      </c>
      <c r="C158" s="49">
        <f>IF(M158=0,"",IF(M158&lt;&gt;M157,INDEX(Escaleta!$F$1:$F$504,M158),IF(M158&lt;&gt;M156,TEXT(INDEX(Escaleta!$C$1:$C$504,M158),"hh:mm")&amp;"–"&amp;TEXT(INDEX(Escaleta!$E$1:$E$504,M158),"hh:mm"),"")))</f>
        <v/>
      </c>
      <c r="D158" s="49">
        <f>IF(N158=0,"",IF(N158&lt;&gt;N157,INDEX(Escaleta!$F$1:$F$504,N158),IF(N158&lt;&gt;N156,TEXT(INDEX(Escaleta!$C$1:$C$504,N158),"hh:mm")&amp;"–"&amp;TEXT(INDEX(Escaleta!$E$1:$E$504,N158),"hh:mm"),"")))</f>
        <v/>
      </c>
      <c r="E158" s="49">
        <f>IF(O158=0,"",IF(O158&lt;&gt;O157,INDEX(Escaleta!$F$1:$F$504,O158),IF(O158&lt;&gt;O156,TEXT(INDEX(Escaleta!$C$1:$C$504,O158),"hh:mm")&amp;"–"&amp;TEXT(INDEX(Escaleta!$E$1:$E$504,O158),"hh:mm"),"")))</f>
        <v/>
      </c>
      <c r="F158" s="49">
        <f>IF(P158=0,"",IF(P158&lt;&gt;P157,INDEX(Escaleta!$F$1:$F$504,P158),IF(P158&lt;&gt;P156,TEXT(INDEX(Escaleta!$C$1:$C$504,P158),"hh:mm")&amp;"–"&amp;TEXT(INDEX(Escaleta!$E$1:$E$504,P158),"hh:mm"),"")))</f>
        <v/>
      </c>
      <c r="G158" s="49">
        <f>IF(Q158=0,"",IF(Q158&lt;&gt;Q157,INDEX(Escaleta!$F$1:$F$504,Q158),IF(Q158&lt;&gt;Q156,TEXT(INDEX(Escaleta!$C$1:$C$504,Q158),"hh:mm")&amp;"–"&amp;TEXT(INDEX(Escaleta!$E$1:$E$504,Q158),"hh:mm"),"")))</f>
        <v/>
      </c>
      <c r="H158" s="49">
        <f>IF(R158=0,"",IF(R158&lt;&gt;R157,INDEX(Escaleta!$F$1:$F$504,R158),IF(R158&lt;&gt;R156,TEXT(INDEX(Escaleta!$C$1:$C$504,R158),"hh:mm")&amp;"–"&amp;TEXT(INDEX(Escaleta!$E$1:$E$504,R158),"hh:mm"),"")))</f>
        <v/>
      </c>
      <c r="I158" s="49">
        <f>IF(S158=0,"",IF(S158&lt;&gt;S157,INDEX(Escaleta!$F$1:$F$504,S158),IF(S158&lt;&gt;S156,TEXT(INDEX(Escaleta!$C$1:$C$504,S158),"hh:mm")&amp;"–"&amp;TEXT(INDEX(Escaleta!$E$1:$E$504,S158),"hh:mm"),"")))</f>
        <v/>
      </c>
      <c r="L158" s="50">
        <f>IF(OR($A158="",B$6=""),0,SUMPRODUCT(MAX((Escaleta!$A$5:$A$504=$B$4)*(Escaleta!$H$5:$H$504=B$6)*(Escaleta!$K$5:$K$504&lt;&gt;"Cancelada")*(Escaleta!$C$5:$C$504&lt;$A158+Configuración!$C$7/1440)*(Escaleta!$E$5:$E$504&gt;$A158)*ROW(Escaleta!$A$5:$A$504))))</f>
        <v/>
      </c>
      <c r="M158" s="50">
        <f>IF(OR($A158="",C$6=""),0,SUMPRODUCT(MAX((Escaleta!$A$5:$A$504=$B$4)*(Escaleta!$H$5:$H$504=C$6)*(Escaleta!$K$5:$K$504&lt;&gt;"Cancelada")*(Escaleta!$C$5:$C$504&lt;$A158+Configuración!$C$7/1440)*(Escaleta!$E$5:$E$504&gt;$A158)*ROW(Escaleta!$A$5:$A$504))))</f>
        <v/>
      </c>
      <c r="N158" s="50">
        <f>IF(OR($A158="",D$6=""),0,SUMPRODUCT(MAX((Escaleta!$A$5:$A$504=$B$4)*(Escaleta!$H$5:$H$504=D$6)*(Escaleta!$K$5:$K$504&lt;&gt;"Cancelada")*(Escaleta!$C$5:$C$504&lt;$A158+Configuración!$C$7/1440)*(Escaleta!$E$5:$E$504&gt;$A158)*ROW(Escaleta!$A$5:$A$504))))</f>
        <v/>
      </c>
      <c r="O158" s="50">
        <f>IF(OR($A158="",E$6=""),0,SUMPRODUCT(MAX((Escaleta!$A$5:$A$504=$B$4)*(Escaleta!$H$5:$H$504=E$6)*(Escaleta!$K$5:$K$504&lt;&gt;"Cancelada")*(Escaleta!$C$5:$C$504&lt;$A158+Configuración!$C$7/1440)*(Escaleta!$E$5:$E$504&gt;$A158)*ROW(Escaleta!$A$5:$A$504))))</f>
        <v/>
      </c>
      <c r="P158" s="50">
        <f>IF(OR($A158="",F$6=""),0,SUMPRODUCT(MAX((Escaleta!$A$5:$A$504=$B$4)*(Escaleta!$H$5:$H$504=F$6)*(Escaleta!$K$5:$K$504&lt;&gt;"Cancelada")*(Escaleta!$C$5:$C$504&lt;$A158+Configuración!$C$7/1440)*(Escaleta!$E$5:$E$504&gt;$A158)*ROW(Escaleta!$A$5:$A$504))))</f>
        <v/>
      </c>
      <c r="Q158" s="50">
        <f>IF(OR($A158="",G$6=""),0,SUMPRODUCT(MAX((Escaleta!$A$5:$A$504=$B$4)*(Escaleta!$H$5:$H$504=G$6)*(Escaleta!$K$5:$K$504&lt;&gt;"Cancelada")*(Escaleta!$C$5:$C$504&lt;$A158+Configuración!$C$7/1440)*(Escaleta!$E$5:$E$504&gt;$A158)*ROW(Escaleta!$A$5:$A$504))))</f>
        <v/>
      </c>
      <c r="R158" s="50">
        <f>IF(OR($A158="",H$6=""),0,SUMPRODUCT(MAX((Escaleta!$A$5:$A$504=$B$4)*(Escaleta!$H$5:$H$504=H$6)*(Escaleta!$K$5:$K$504&lt;&gt;"Cancelada")*(Escaleta!$C$5:$C$504&lt;$A158+Configuración!$C$7/1440)*(Escaleta!$E$5:$E$504&gt;$A158)*ROW(Escaleta!$A$5:$A$504))))</f>
        <v/>
      </c>
      <c r="S158" s="50">
        <f>IF(OR($A158="",I$6=""),0,SUMPRODUCT(MAX((Escaleta!$A$5:$A$504=$B$4)*(Escaleta!$H$5:$H$504=I$6)*(Escaleta!$K$5:$K$504&lt;&gt;"Cancelada")*(Escaleta!$C$5:$C$504&lt;$A158+Configuración!$C$7/1440)*(Escaleta!$E$5:$E$504&gt;$A158)*ROW(Escaleta!$A$5:$A$504))))</f>
        <v/>
      </c>
      <c r="U158" s="50">
        <f>IF(L158=0,"",INDEX(Escaleta!$I$1:$I$504,L158))</f>
        <v/>
      </c>
      <c r="V158" s="50">
        <f>IF(M158=0,"",INDEX(Escaleta!$I$1:$I$504,M158))</f>
        <v/>
      </c>
      <c r="W158" s="50">
        <f>IF(N158=0,"",INDEX(Escaleta!$I$1:$I$504,N158))</f>
        <v/>
      </c>
      <c r="X158" s="50">
        <f>IF(O158=0,"",INDEX(Escaleta!$I$1:$I$504,O158))</f>
        <v/>
      </c>
      <c r="Y158" s="50">
        <f>IF(P158=0,"",INDEX(Escaleta!$I$1:$I$504,P158))</f>
        <v/>
      </c>
      <c r="Z158" s="50">
        <f>IF(Q158=0,"",INDEX(Escaleta!$I$1:$I$504,Q158))</f>
        <v/>
      </c>
      <c r="AA158" s="50">
        <f>IF(R158=0,"",INDEX(Escaleta!$I$1:$I$504,R158))</f>
        <v/>
      </c>
      <c r="AB158" s="50">
        <f>IF(S158=0,"",INDEX(Escaleta!$I$1:$I$504,S158))</f>
        <v/>
      </c>
    </row>
    <row r="159" ht="18" customHeight="1">
      <c r="A159" s="48">
        <f>IF(A158="","",IF(A158+Configuración!$C$7/1440&gt;Configuración!$C$6-0.0001,"",A158+Configuración!$C$7/1440))</f>
        <v/>
      </c>
      <c r="B159" s="49">
        <f>IF(L159=0,"",IF(L159&lt;&gt;L158,INDEX(Escaleta!$F$1:$F$504,L159),IF(L159&lt;&gt;L157,TEXT(INDEX(Escaleta!$C$1:$C$504,L159),"hh:mm")&amp;"–"&amp;TEXT(INDEX(Escaleta!$E$1:$E$504,L159),"hh:mm"),"")))</f>
        <v/>
      </c>
      <c r="C159" s="49">
        <f>IF(M159=0,"",IF(M159&lt;&gt;M158,INDEX(Escaleta!$F$1:$F$504,M159),IF(M159&lt;&gt;M157,TEXT(INDEX(Escaleta!$C$1:$C$504,M159),"hh:mm")&amp;"–"&amp;TEXT(INDEX(Escaleta!$E$1:$E$504,M159),"hh:mm"),"")))</f>
        <v/>
      </c>
      <c r="D159" s="49">
        <f>IF(N159=0,"",IF(N159&lt;&gt;N158,INDEX(Escaleta!$F$1:$F$504,N159),IF(N159&lt;&gt;N157,TEXT(INDEX(Escaleta!$C$1:$C$504,N159),"hh:mm")&amp;"–"&amp;TEXT(INDEX(Escaleta!$E$1:$E$504,N159),"hh:mm"),"")))</f>
        <v/>
      </c>
      <c r="E159" s="49">
        <f>IF(O159=0,"",IF(O159&lt;&gt;O158,INDEX(Escaleta!$F$1:$F$504,O159),IF(O159&lt;&gt;O157,TEXT(INDEX(Escaleta!$C$1:$C$504,O159),"hh:mm")&amp;"–"&amp;TEXT(INDEX(Escaleta!$E$1:$E$504,O159),"hh:mm"),"")))</f>
        <v/>
      </c>
      <c r="F159" s="49">
        <f>IF(P159=0,"",IF(P159&lt;&gt;P158,INDEX(Escaleta!$F$1:$F$504,P159),IF(P159&lt;&gt;P157,TEXT(INDEX(Escaleta!$C$1:$C$504,P159),"hh:mm")&amp;"–"&amp;TEXT(INDEX(Escaleta!$E$1:$E$504,P159),"hh:mm"),"")))</f>
        <v/>
      </c>
      <c r="G159" s="49">
        <f>IF(Q159=0,"",IF(Q159&lt;&gt;Q158,INDEX(Escaleta!$F$1:$F$504,Q159),IF(Q159&lt;&gt;Q157,TEXT(INDEX(Escaleta!$C$1:$C$504,Q159),"hh:mm")&amp;"–"&amp;TEXT(INDEX(Escaleta!$E$1:$E$504,Q159),"hh:mm"),"")))</f>
        <v/>
      </c>
      <c r="H159" s="49">
        <f>IF(R159=0,"",IF(R159&lt;&gt;R158,INDEX(Escaleta!$F$1:$F$504,R159),IF(R159&lt;&gt;R157,TEXT(INDEX(Escaleta!$C$1:$C$504,R159),"hh:mm")&amp;"–"&amp;TEXT(INDEX(Escaleta!$E$1:$E$504,R159),"hh:mm"),"")))</f>
        <v/>
      </c>
      <c r="I159" s="49">
        <f>IF(S159=0,"",IF(S159&lt;&gt;S158,INDEX(Escaleta!$F$1:$F$504,S159),IF(S159&lt;&gt;S157,TEXT(INDEX(Escaleta!$C$1:$C$504,S159),"hh:mm")&amp;"–"&amp;TEXT(INDEX(Escaleta!$E$1:$E$504,S159),"hh:mm"),"")))</f>
        <v/>
      </c>
      <c r="L159" s="50">
        <f>IF(OR($A159="",B$6=""),0,SUMPRODUCT(MAX((Escaleta!$A$5:$A$504=$B$4)*(Escaleta!$H$5:$H$504=B$6)*(Escaleta!$K$5:$K$504&lt;&gt;"Cancelada")*(Escaleta!$C$5:$C$504&lt;$A159+Configuración!$C$7/1440)*(Escaleta!$E$5:$E$504&gt;$A159)*ROW(Escaleta!$A$5:$A$504))))</f>
        <v/>
      </c>
      <c r="M159" s="50">
        <f>IF(OR($A159="",C$6=""),0,SUMPRODUCT(MAX((Escaleta!$A$5:$A$504=$B$4)*(Escaleta!$H$5:$H$504=C$6)*(Escaleta!$K$5:$K$504&lt;&gt;"Cancelada")*(Escaleta!$C$5:$C$504&lt;$A159+Configuración!$C$7/1440)*(Escaleta!$E$5:$E$504&gt;$A159)*ROW(Escaleta!$A$5:$A$504))))</f>
        <v/>
      </c>
      <c r="N159" s="50">
        <f>IF(OR($A159="",D$6=""),0,SUMPRODUCT(MAX((Escaleta!$A$5:$A$504=$B$4)*(Escaleta!$H$5:$H$504=D$6)*(Escaleta!$K$5:$K$504&lt;&gt;"Cancelada")*(Escaleta!$C$5:$C$504&lt;$A159+Configuración!$C$7/1440)*(Escaleta!$E$5:$E$504&gt;$A159)*ROW(Escaleta!$A$5:$A$504))))</f>
        <v/>
      </c>
      <c r="O159" s="50">
        <f>IF(OR($A159="",E$6=""),0,SUMPRODUCT(MAX((Escaleta!$A$5:$A$504=$B$4)*(Escaleta!$H$5:$H$504=E$6)*(Escaleta!$K$5:$K$504&lt;&gt;"Cancelada")*(Escaleta!$C$5:$C$504&lt;$A159+Configuración!$C$7/1440)*(Escaleta!$E$5:$E$504&gt;$A159)*ROW(Escaleta!$A$5:$A$504))))</f>
        <v/>
      </c>
      <c r="P159" s="50">
        <f>IF(OR($A159="",F$6=""),0,SUMPRODUCT(MAX((Escaleta!$A$5:$A$504=$B$4)*(Escaleta!$H$5:$H$504=F$6)*(Escaleta!$K$5:$K$504&lt;&gt;"Cancelada")*(Escaleta!$C$5:$C$504&lt;$A159+Configuración!$C$7/1440)*(Escaleta!$E$5:$E$504&gt;$A159)*ROW(Escaleta!$A$5:$A$504))))</f>
        <v/>
      </c>
      <c r="Q159" s="50">
        <f>IF(OR($A159="",G$6=""),0,SUMPRODUCT(MAX((Escaleta!$A$5:$A$504=$B$4)*(Escaleta!$H$5:$H$504=G$6)*(Escaleta!$K$5:$K$504&lt;&gt;"Cancelada")*(Escaleta!$C$5:$C$504&lt;$A159+Configuración!$C$7/1440)*(Escaleta!$E$5:$E$504&gt;$A159)*ROW(Escaleta!$A$5:$A$504))))</f>
        <v/>
      </c>
      <c r="R159" s="50">
        <f>IF(OR($A159="",H$6=""),0,SUMPRODUCT(MAX((Escaleta!$A$5:$A$504=$B$4)*(Escaleta!$H$5:$H$504=H$6)*(Escaleta!$K$5:$K$504&lt;&gt;"Cancelada")*(Escaleta!$C$5:$C$504&lt;$A159+Configuración!$C$7/1440)*(Escaleta!$E$5:$E$504&gt;$A159)*ROW(Escaleta!$A$5:$A$504))))</f>
        <v/>
      </c>
      <c r="S159" s="50">
        <f>IF(OR($A159="",I$6=""),0,SUMPRODUCT(MAX((Escaleta!$A$5:$A$504=$B$4)*(Escaleta!$H$5:$H$504=I$6)*(Escaleta!$K$5:$K$504&lt;&gt;"Cancelada")*(Escaleta!$C$5:$C$504&lt;$A159+Configuración!$C$7/1440)*(Escaleta!$E$5:$E$504&gt;$A159)*ROW(Escaleta!$A$5:$A$504))))</f>
        <v/>
      </c>
      <c r="U159" s="50">
        <f>IF(L159=0,"",INDEX(Escaleta!$I$1:$I$504,L159))</f>
        <v/>
      </c>
      <c r="V159" s="50">
        <f>IF(M159=0,"",INDEX(Escaleta!$I$1:$I$504,M159))</f>
        <v/>
      </c>
      <c r="W159" s="50">
        <f>IF(N159=0,"",INDEX(Escaleta!$I$1:$I$504,N159))</f>
        <v/>
      </c>
      <c r="X159" s="50">
        <f>IF(O159=0,"",INDEX(Escaleta!$I$1:$I$504,O159))</f>
        <v/>
      </c>
      <c r="Y159" s="50">
        <f>IF(P159=0,"",INDEX(Escaleta!$I$1:$I$504,P159))</f>
        <v/>
      </c>
      <c r="Z159" s="50">
        <f>IF(Q159=0,"",INDEX(Escaleta!$I$1:$I$504,Q159))</f>
        <v/>
      </c>
      <c r="AA159" s="50">
        <f>IF(R159=0,"",INDEX(Escaleta!$I$1:$I$504,R159))</f>
        <v/>
      </c>
      <c r="AB159" s="50">
        <f>IF(S159=0,"",INDEX(Escaleta!$I$1:$I$504,S159))</f>
        <v/>
      </c>
    </row>
    <row r="160" ht="18" customHeight="1">
      <c r="A160" s="48">
        <f>IF(A159="","",IF(A159+Configuración!$C$7/1440&gt;Configuración!$C$6-0.0001,"",A159+Configuración!$C$7/1440))</f>
        <v/>
      </c>
      <c r="B160" s="49">
        <f>IF(L160=0,"",IF(L160&lt;&gt;L159,INDEX(Escaleta!$F$1:$F$504,L160),IF(L160&lt;&gt;L158,TEXT(INDEX(Escaleta!$C$1:$C$504,L160),"hh:mm")&amp;"–"&amp;TEXT(INDEX(Escaleta!$E$1:$E$504,L160),"hh:mm"),"")))</f>
        <v/>
      </c>
      <c r="C160" s="49">
        <f>IF(M160=0,"",IF(M160&lt;&gt;M159,INDEX(Escaleta!$F$1:$F$504,M160),IF(M160&lt;&gt;M158,TEXT(INDEX(Escaleta!$C$1:$C$504,M160),"hh:mm")&amp;"–"&amp;TEXT(INDEX(Escaleta!$E$1:$E$504,M160),"hh:mm"),"")))</f>
        <v/>
      </c>
      <c r="D160" s="49">
        <f>IF(N160=0,"",IF(N160&lt;&gt;N159,INDEX(Escaleta!$F$1:$F$504,N160),IF(N160&lt;&gt;N158,TEXT(INDEX(Escaleta!$C$1:$C$504,N160),"hh:mm")&amp;"–"&amp;TEXT(INDEX(Escaleta!$E$1:$E$504,N160),"hh:mm"),"")))</f>
        <v/>
      </c>
      <c r="E160" s="49">
        <f>IF(O160=0,"",IF(O160&lt;&gt;O159,INDEX(Escaleta!$F$1:$F$504,O160),IF(O160&lt;&gt;O158,TEXT(INDEX(Escaleta!$C$1:$C$504,O160),"hh:mm")&amp;"–"&amp;TEXT(INDEX(Escaleta!$E$1:$E$504,O160),"hh:mm"),"")))</f>
        <v/>
      </c>
      <c r="F160" s="49">
        <f>IF(P160=0,"",IF(P160&lt;&gt;P159,INDEX(Escaleta!$F$1:$F$504,P160),IF(P160&lt;&gt;P158,TEXT(INDEX(Escaleta!$C$1:$C$504,P160),"hh:mm")&amp;"–"&amp;TEXT(INDEX(Escaleta!$E$1:$E$504,P160),"hh:mm"),"")))</f>
        <v/>
      </c>
      <c r="G160" s="49">
        <f>IF(Q160=0,"",IF(Q160&lt;&gt;Q159,INDEX(Escaleta!$F$1:$F$504,Q160),IF(Q160&lt;&gt;Q158,TEXT(INDEX(Escaleta!$C$1:$C$504,Q160),"hh:mm")&amp;"–"&amp;TEXT(INDEX(Escaleta!$E$1:$E$504,Q160),"hh:mm"),"")))</f>
        <v/>
      </c>
      <c r="H160" s="49">
        <f>IF(R160=0,"",IF(R160&lt;&gt;R159,INDEX(Escaleta!$F$1:$F$504,R160),IF(R160&lt;&gt;R158,TEXT(INDEX(Escaleta!$C$1:$C$504,R160),"hh:mm")&amp;"–"&amp;TEXT(INDEX(Escaleta!$E$1:$E$504,R160),"hh:mm"),"")))</f>
        <v/>
      </c>
      <c r="I160" s="49">
        <f>IF(S160=0,"",IF(S160&lt;&gt;S159,INDEX(Escaleta!$F$1:$F$504,S160),IF(S160&lt;&gt;S158,TEXT(INDEX(Escaleta!$C$1:$C$504,S160),"hh:mm")&amp;"–"&amp;TEXT(INDEX(Escaleta!$E$1:$E$504,S160),"hh:mm"),"")))</f>
        <v/>
      </c>
      <c r="L160" s="50">
        <f>IF(OR($A160="",B$6=""),0,SUMPRODUCT(MAX((Escaleta!$A$5:$A$504=$B$4)*(Escaleta!$H$5:$H$504=B$6)*(Escaleta!$K$5:$K$504&lt;&gt;"Cancelada")*(Escaleta!$C$5:$C$504&lt;$A160+Configuración!$C$7/1440)*(Escaleta!$E$5:$E$504&gt;$A160)*ROW(Escaleta!$A$5:$A$504))))</f>
        <v/>
      </c>
      <c r="M160" s="50">
        <f>IF(OR($A160="",C$6=""),0,SUMPRODUCT(MAX((Escaleta!$A$5:$A$504=$B$4)*(Escaleta!$H$5:$H$504=C$6)*(Escaleta!$K$5:$K$504&lt;&gt;"Cancelada")*(Escaleta!$C$5:$C$504&lt;$A160+Configuración!$C$7/1440)*(Escaleta!$E$5:$E$504&gt;$A160)*ROW(Escaleta!$A$5:$A$504))))</f>
        <v/>
      </c>
      <c r="N160" s="50">
        <f>IF(OR($A160="",D$6=""),0,SUMPRODUCT(MAX((Escaleta!$A$5:$A$504=$B$4)*(Escaleta!$H$5:$H$504=D$6)*(Escaleta!$K$5:$K$504&lt;&gt;"Cancelada")*(Escaleta!$C$5:$C$504&lt;$A160+Configuración!$C$7/1440)*(Escaleta!$E$5:$E$504&gt;$A160)*ROW(Escaleta!$A$5:$A$504))))</f>
        <v/>
      </c>
      <c r="O160" s="50">
        <f>IF(OR($A160="",E$6=""),0,SUMPRODUCT(MAX((Escaleta!$A$5:$A$504=$B$4)*(Escaleta!$H$5:$H$504=E$6)*(Escaleta!$K$5:$K$504&lt;&gt;"Cancelada")*(Escaleta!$C$5:$C$504&lt;$A160+Configuración!$C$7/1440)*(Escaleta!$E$5:$E$504&gt;$A160)*ROW(Escaleta!$A$5:$A$504))))</f>
        <v/>
      </c>
      <c r="P160" s="50">
        <f>IF(OR($A160="",F$6=""),0,SUMPRODUCT(MAX((Escaleta!$A$5:$A$504=$B$4)*(Escaleta!$H$5:$H$504=F$6)*(Escaleta!$K$5:$K$504&lt;&gt;"Cancelada")*(Escaleta!$C$5:$C$504&lt;$A160+Configuración!$C$7/1440)*(Escaleta!$E$5:$E$504&gt;$A160)*ROW(Escaleta!$A$5:$A$504))))</f>
        <v/>
      </c>
      <c r="Q160" s="50">
        <f>IF(OR($A160="",G$6=""),0,SUMPRODUCT(MAX((Escaleta!$A$5:$A$504=$B$4)*(Escaleta!$H$5:$H$504=G$6)*(Escaleta!$K$5:$K$504&lt;&gt;"Cancelada")*(Escaleta!$C$5:$C$504&lt;$A160+Configuración!$C$7/1440)*(Escaleta!$E$5:$E$504&gt;$A160)*ROW(Escaleta!$A$5:$A$504))))</f>
        <v/>
      </c>
      <c r="R160" s="50">
        <f>IF(OR($A160="",H$6=""),0,SUMPRODUCT(MAX((Escaleta!$A$5:$A$504=$B$4)*(Escaleta!$H$5:$H$504=H$6)*(Escaleta!$K$5:$K$504&lt;&gt;"Cancelada")*(Escaleta!$C$5:$C$504&lt;$A160+Configuración!$C$7/1440)*(Escaleta!$E$5:$E$504&gt;$A160)*ROW(Escaleta!$A$5:$A$504))))</f>
        <v/>
      </c>
      <c r="S160" s="50">
        <f>IF(OR($A160="",I$6=""),0,SUMPRODUCT(MAX((Escaleta!$A$5:$A$504=$B$4)*(Escaleta!$H$5:$H$504=I$6)*(Escaleta!$K$5:$K$504&lt;&gt;"Cancelada")*(Escaleta!$C$5:$C$504&lt;$A160+Configuración!$C$7/1440)*(Escaleta!$E$5:$E$504&gt;$A160)*ROW(Escaleta!$A$5:$A$504))))</f>
        <v/>
      </c>
      <c r="U160" s="50">
        <f>IF(L160=0,"",INDEX(Escaleta!$I$1:$I$504,L160))</f>
        <v/>
      </c>
      <c r="V160" s="50">
        <f>IF(M160=0,"",INDEX(Escaleta!$I$1:$I$504,M160))</f>
        <v/>
      </c>
      <c r="W160" s="50">
        <f>IF(N160=0,"",INDEX(Escaleta!$I$1:$I$504,N160))</f>
        <v/>
      </c>
      <c r="X160" s="50">
        <f>IF(O160=0,"",INDEX(Escaleta!$I$1:$I$504,O160))</f>
        <v/>
      </c>
      <c r="Y160" s="50">
        <f>IF(P160=0,"",INDEX(Escaleta!$I$1:$I$504,P160))</f>
        <v/>
      </c>
      <c r="Z160" s="50">
        <f>IF(Q160=0,"",INDEX(Escaleta!$I$1:$I$504,Q160))</f>
        <v/>
      </c>
      <c r="AA160" s="50">
        <f>IF(R160=0,"",INDEX(Escaleta!$I$1:$I$504,R160))</f>
        <v/>
      </c>
      <c r="AB160" s="50">
        <f>IF(S160=0,"",INDEX(Escaleta!$I$1:$I$504,S160))</f>
        <v/>
      </c>
    </row>
    <row r="161" ht="18" customHeight="1">
      <c r="A161" s="48">
        <f>IF(A160="","",IF(A160+Configuración!$C$7/1440&gt;Configuración!$C$6-0.0001,"",A160+Configuración!$C$7/1440))</f>
        <v/>
      </c>
      <c r="B161" s="49">
        <f>IF(L161=0,"",IF(L161&lt;&gt;L160,INDEX(Escaleta!$F$1:$F$504,L161),IF(L161&lt;&gt;L159,TEXT(INDEX(Escaleta!$C$1:$C$504,L161),"hh:mm")&amp;"–"&amp;TEXT(INDEX(Escaleta!$E$1:$E$504,L161),"hh:mm"),"")))</f>
        <v/>
      </c>
      <c r="C161" s="49">
        <f>IF(M161=0,"",IF(M161&lt;&gt;M160,INDEX(Escaleta!$F$1:$F$504,M161),IF(M161&lt;&gt;M159,TEXT(INDEX(Escaleta!$C$1:$C$504,M161),"hh:mm")&amp;"–"&amp;TEXT(INDEX(Escaleta!$E$1:$E$504,M161),"hh:mm"),"")))</f>
        <v/>
      </c>
      <c r="D161" s="49">
        <f>IF(N161=0,"",IF(N161&lt;&gt;N160,INDEX(Escaleta!$F$1:$F$504,N161),IF(N161&lt;&gt;N159,TEXT(INDEX(Escaleta!$C$1:$C$504,N161),"hh:mm")&amp;"–"&amp;TEXT(INDEX(Escaleta!$E$1:$E$504,N161),"hh:mm"),"")))</f>
        <v/>
      </c>
      <c r="E161" s="49">
        <f>IF(O161=0,"",IF(O161&lt;&gt;O160,INDEX(Escaleta!$F$1:$F$504,O161),IF(O161&lt;&gt;O159,TEXT(INDEX(Escaleta!$C$1:$C$504,O161),"hh:mm")&amp;"–"&amp;TEXT(INDEX(Escaleta!$E$1:$E$504,O161),"hh:mm"),"")))</f>
        <v/>
      </c>
      <c r="F161" s="49">
        <f>IF(P161=0,"",IF(P161&lt;&gt;P160,INDEX(Escaleta!$F$1:$F$504,P161),IF(P161&lt;&gt;P159,TEXT(INDEX(Escaleta!$C$1:$C$504,P161),"hh:mm")&amp;"–"&amp;TEXT(INDEX(Escaleta!$E$1:$E$504,P161),"hh:mm"),"")))</f>
        <v/>
      </c>
      <c r="G161" s="49">
        <f>IF(Q161=0,"",IF(Q161&lt;&gt;Q160,INDEX(Escaleta!$F$1:$F$504,Q161),IF(Q161&lt;&gt;Q159,TEXT(INDEX(Escaleta!$C$1:$C$504,Q161),"hh:mm")&amp;"–"&amp;TEXT(INDEX(Escaleta!$E$1:$E$504,Q161),"hh:mm"),"")))</f>
        <v/>
      </c>
      <c r="H161" s="49">
        <f>IF(R161=0,"",IF(R161&lt;&gt;R160,INDEX(Escaleta!$F$1:$F$504,R161),IF(R161&lt;&gt;R159,TEXT(INDEX(Escaleta!$C$1:$C$504,R161),"hh:mm")&amp;"–"&amp;TEXT(INDEX(Escaleta!$E$1:$E$504,R161),"hh:mm"),"")))</f>
        <v/>
      </c>
      <c r="I161" s="49">
        <f>IF(S161=0,"",IF(S161&lt;&gt;S160,INDEX(Escaleta!$F$1:$F$504,S161),IF(S161&lt;&gt;S159,TEXT(INDEX(Escaleta!$C$1:$C$504,S161),"hh:mm")&amp;"–"&amp;TEXT(INDEX(Escaleta!$E$1:$E$504,S161),"hh:mm"),"")))</f>
        <v/>
      </c>
      <c r="L161" s="50">
        <f>IF(OR($A161="",B$6=""),0,SUMPRODUCT(MAX((Escaleta!$A$5:$A$504=$B$4)*(Escaleta!$H$5:$H$504=B$6)*(Escaleta!$K$5:$K$504&lt;&gt;"Cancelada")*(Escaleta!$C$5:$C$504&lt;$A161+Configuración!$C$7/1440)*(Escaleta!$E$5:$E$504&gt;$A161)*ROW(Escaleta!$A$5:$A$504))))</f>
        <v/>
      </c>
      <c r="M161" s="50">
        <f>IF(OR($A161="",C$6=""),0,SUMPRODUCT(MAX((Escaleta!$A$5:$A$504=$B$4)*(Escaleta!$H$5:$H$504=C$6)*(Escaleta!$K$5:$K$504&lt;&gt;"Cancelada")*(Escaleta!$C$5:$C$504&lt;$A161+Configuración!$C$7/1440)*(Escaleta!$E$5:$E$504&gt;$A161)*ROW(Escaleta!$A$5:$A$504))))</f>
        <v/>
      </c>
      <c r="N161" s="50">
        <f>IF(OR($A161="",D$6=""),0,SUMPRODUCT(MAX((Escaleta!$A$5:$A$504=$B$4)*(Escaleta!$H$5:$H$504=D$6)*(Escaleta!$K$5:$K$504&lt;&gt;"Cancelada")*(Escaleta!$C$5:$C$504&lt;$A161+Configuración!$C$7/1440)*(Escaleta!$E$5:$E$504&gt;$A161)*ROW(Escaleta!$A$5:$A$504))))</f>
        <v/>
      </c>
      <c r="O161" s="50">
        <f>IF(OR($A161="",E$6=""),0,SUMPRODUCT(MAX((Escaleta!$A$5:$A$504=$B$4)*(Escaleta!$H$5:$H$504=E$6)*(Escaleta!$K$5:$K$504&lt;&gt;"Cancelada")*(Escaleta!$C$5:$C$504&lt;$A161+Configuración!$C$7/1440)*(Escaleta!$E$5:$E$504&gt;$A161)*ROW(Escaleta!$A$5:$A$504))))</f>
        <v/>
      </c>
      <c r="P161" s="50">
        <f>IF(OR($A161="",F$6=""),0,SUMPRODUCT(MAX((Escaleta!$A$5:$A$504=$B$4)*(Escaleta!$H$5:$H$504=F$6)*(Escaleta!$K$5:$K$504&lt;&gt;"Cancelada")*(Escaleta!$C$5:$C$504&lt;$A161+Configuración!$C$7/1440)*(Escaleta!$E$5:$E$504&gt;$A161)*ROW(Escaleta!$A$5:$A$504))))</f>
        <v/>
      </c>
      <c r="Q161" s="50">
        <f>IF(OR($A161="",G$6=""),0,SUMPRODUCT(MAX((Escaleta!$A$5:$A$504=$B$4)*(Escaleta!$H$5:$H$504=G$6)*(Escaleta!$K$5:$K$504&lt;&gt;"Cancelada")*(Escaleta!$C$5:$C$504&lt;$A161+Configuración!$C$7/1440)*(Escaleta!$E$5:$E$504&gt;$A161)*ROW(Escaleta!$A$5:$A$504))))</f>
        <v/>
      </c>
      <c r="R161" s="50">
        <f>IF(OR($A161="",H$6=""),0,SUMPRODUCT(MAX((Escaleta!$A$5:$A$504=$B$4)*(Escaleta!$H$5:$H$504=H$6)*(Escaleta!$K$5:$K$504&lt;&gt;"Cancelada")*(Escaleta!$C$5:$C$504&lt;$A161+Configuración!$C$7/1440)*(Escaleta!$E$5:$E$504&gt;$A161)*ROW(Escaleta!$A$5:$A$504))))</f>
        <v/>
      </c>
      <c r="S161" s="50">
        <f>IF(OR($A161="",I$6=""),0,SUMPRODUCT(MAX((Escaleta!$A$5:$A$504=$B$4)*(Escaleta!$H$5:$H$504=I$6)*(Escaleta!$K$5:$K$504&lt;&gt;"Cancelada")*(Escaleta!$C$5:$C$504&lt;$A161+Configuración!$C$7/1440)*(Escaleta!$E$5:$E$504&gt;$A161)*ROW(Escaleta!$A$5:$A$504))))</f>
        <v/>
      </c>
      <c r="U161" s="50">
        <f>IF(L161=0,"",INDEX(Escaleta!$I$1:$I$504,L161))</f>
        <v/>
      </c>
      <c r="V161" s="50">
        <f>IF(M161=0,"",INDEX(Escaleta!$I$1:$I$504,M161))</f>
        <v/>
      </c>
      <c r="W161" s="50">
        <f>IF(N161=0,"",INDEX(Escaleta!$I$1:$I$504,N161))</f>
        <v/>
      </c>
      <c r="X161" s="50">
        <f>IF(O161=0,"",INDEX(Escaleta!$I$1:$I$504,O161))</f>
        <v/>
      </c>
      <c r="Y161" s="50">
        <f>IF(P161=0,"",INDEX(Escaleta!$I$1:$I$504,P161))</f>
        <v/>
      </c>
      <c r="Z161" s="50">
        <f>IF(Q161=0,"",INDEX(Escaleta!$I$1:$I$504,Q161))</f>
        <v/>
      </c>
      <c r="AA161" s="50">
        <f>IF(R161=0,"",INDEX(Escaleta!$I$1:$I$504,R161))</f>
        <v/>
      </c>
      <c r="AB161" s="50">
        <f>IF(S161=0,"",INDEX(Escaleta!$I$1:$I$504,S161))</f>
        <v/>
      </c>
    </row>
    <row r="162" ht="18" customHeight="1">
      <c r="A162" s="48">
        <f>IF(A161="","",IF(A161+Configuración!$C$7/1440&gt;Configuración!$C$6-0.0001,"",A161+Configuración!$C$7/1440))</f>
        <v/>
      </c>
      <c r="B162" s="49">
        <f>IF(L162=0,"",IF(L162&lt;&gt;L161,INDEX(Escaleta!$F$1:$F$504,L162),IF(L162&lt;&gt;L160,TEXT(INDEX(Escaleta!$C$1:$C$504,L162),"hh:mm")&amp;"–"&amp;TEXT(INDEX(Escaleta!$E$1:$E$504,L162),"hh:mm"),"")))</f>
        <v/>
      </c>
      <c r="C162" s="49">
        <f>IF(M162=0,"",IF(M162&lt;&gt;M161,INDEX(Escaleta!$F$1:$F$504,M162),IF(M162&lt;&gt;M160,TEXT(INDEX(Escaleta!$C$1:$C$504,M162),"hh:mm")&amp;"–"&amp;TEXT(INDEX(Escaleta!$E$1:$E$504,M162),"hh:mm"),"")))</f>
        <v/>
      </c>
      <c r="D162" s="49">
        <f>IF(N162=0,"",IF(N162&lt;&gt;N161,INDEX(Escaleta!$F$1:$F$504,N162),IF(N162&lt;&gt;N160,TEXT(INDEX(Escaleta!$C$1:$C$504,N162),"hh:mm")&amp;"–"&amp;TEXT(INDEX(Escaleta!$E$1:$E$504,N162),"hh:mm"),"")))</f>
        <v/>
      </c>
      <c r="E162" s="49">
        <f>IF(O162=0,"",IF(O162&lt;&gt;O161,INDEX(Escaleta!$F$1:$F$504,O162),IF(O162&lt;&gt;O160,TEXT(INDEX(Escaleta!$C$1:$C$504,O162),"hh:mm")&amp;"–"&amp;TEXT(INDEX(Escaleta!$E$1:$E$504,O162),"hh:mm"),"")))</f>
        <v/>
      </c>
      <c r="F162" s="49">
        <f>IF(P162=0,"",IF(P162&lt;&gt;P161,INDEX(Escaleta!$F$1:$F$504,P162),IF(P162&lt;&gt;P160,TEXT(INDEX(Escaleta!$C$1:$C$504,P162),"hh:mm")&amp;"–"&amp;TEXT(INDEX(Escaleta!$E$1:$E$504,P162),"hh:mm"),"")))</f>
        <v/>
      </c>
      <c r="G162" s="49">
        <f>IF(Q162=0,"",IF(Q162&lt;&gt;Q161,INDEX(Escaleta!$F$1:$F$504,Q162),IF(Q162&lt;&gt;Q160,TEXT(INDEX(Escaleta!$C$1:$C$504,Q162),"hh:mm")&amp;"–"&amp;TEXT(INDEX(Escaleta!$E$1:$E$504,Q162),"hh:mm"),"")))</f>
        <v/>
      </c>
      <c r="H162" s="49">
        <f>IF(R162=0,"",IF(R162&lt;&gt;R161,INDEX(Escaleta!$F$1:$F$504,R162),IF(R162&lt;&gt;R160,TEXT(INDEX(Escaleta!$C$1:$C$504,R162),"hh:mm")&amp;"–"&amp;TEXT(INDEX(Escaleta!$E$1:$E$504,R162),"hh:mm"),"")))</f>
        <v/>
      </c>
      <c r="I162" s="49">
        <f>IF(S162=0,"",IF(S162&lt;&gt;S161,INDEX(Escaleta!$F$1:$F$504,S162),IF(S162&lt;&gt;S160,TEXT(INDEX(Escaleta!$C$1:$C$504,S162),"hh:mm")&amp;"–"&amp;TEXT(INDEX(Escaleta!$E$1:$E$504,S162),"hh:mm"),"")))</f>
        <v/>
      </c>
      <c r="L162" s="50">
        <f>IF(OR($A162="",B$6=""),0,SUMPRODUCT(MAX((Escaleta!$A$5:$A$504=$B$4)*(Escaleta!$H$5:$H$504=B$6)*(Escaleta!$K$5:$K$504&lt;&gt;"Cancelada")*(Escaleta!$C$5:$C$504&lt;$A162+Configuración!$C$7/1440)*(Escaleta!$E$5:$E$504&gt;$A162)*ROW(Escaleta!$A$5:$A$504))))</f>
        <v/>
      </c>
      <c r="M162" s="50">
        <f>IF(OR($A162="",C$6=""),0,SUMPRODUCT(MAX((Escaleta!$A$5:$A$504=$B$4)*(Escaleta!$H$5:$H$504=C$6)*(Escaleta!$K$5:$K$504&lt;&gt;"Cancelada")*(Escaleta!$C$5:$C$504&lt;$A162+Configuración!$C$7/1440)*(Escaleta!$E$5:$E$504&gt;$A162)*ROW(Escaleta!$A$5:$A$504))))</f>
        <v/>
      </c>
      <c r="N162" s="50">
        <f>IF(OR($A162="",D$6=""),0,SUMPRODUCT(MAX((Escaleta!$A$5:$A$504=$B$4)*(Escaleta!$H$5:$H$504=D$6)*(Escaleta!$K$5:$K$504&lt;&gt;"Cancelada")*(Escaleta!$C$5:$C$504&lt;$A162+Configuración!$C$7/1440)*(Escaleta!$E$5:$E$504&gt;$A162)*ROW(Escaleta!$A$5:$A$504))))</f>
        <v/>
      </c>
      <c r="O162" s="50">
        <f>IF(OR($A162="",E$6=""),0,SUMPRODUCT(MAX((Escaleta!$A$5:$A$504=$B$4)*(Escaleta!$H$5:$H$504=E$6)*(Escaleta!$K$5:$K$504&lt;&gt;"Cancelada")*(Escaleta!$C$5:$C$504&lt;$A162+Configuración!$C$7/1440)*(Escaleta!$E$5:$E$504&gt;$A162)*ROW(Escaleta!$A$5:$A$504))))</f>
        <v/>
      </c>
      <c r="P162" s="50">
        <f>IF(OR($A162="",F$6=""),0,SUMPRODUCT(MAX((Escaleta!$A$5:$A$504=$B$4)*(Escaleta!$H$5:$H$504=F$6)*(Escaleta!$K$5:$K$504&lt;&gt;"Cancelada")*(Escaleta!$C$5:$C$504&lt;$A162+Configuración!$C$7/1440)*(Escaleta!$E$5:$E$504&gt;$A162)*ROW(Escaleta!$A$5:$A$504))))</f>
        <v/>
      </c>
      <c r="Q162" s="50">
        <f>IF(OR($A162="",G$6=""),0,SUMPRODUCT(MAX((Escaleta!$A$5:$A$504=$B$4)*(Escaleta!$H$5:$H$504=G$6)*(Escaleta!$K$5:$K$504&lt;&gt;"Cancelada")*(Escaleta!$C$5:$C$504&lt;$A162+Configuración!$C$7/1440)*(Escaleta!$E$5:$E$504&gt;$A162)*ROW(Escaleta!$A$5:$A$504))))</f>
        <v/>
      </c>
      <c r="R162" s="50">
        <f>IF(OR($A162="",H$6=""),0,SUMPRODUCT(MAX((Escaleta!$A$5:$A$504=$B$4)*(Escaleta!$H$5:$H$504=H$6)*(Escaleta!$K$5:$K$504&lt;&gt;"Cancelada")*(Escaleta!$C$5:$C$504&lt;$A162+Configuración!$C$7/1440)*(Escaleta!$E$5:$E$504&gt;$A162)*ROW(Escaleta!$A$5:$A$504))))</f>
        <v/>
      </c>
      <c r="S162" s="50">
        <f>IF(OR($A162="",I$6=""),0,SUMPRODUCT(MAX((Escaleta!$A$5:$A$504=$B$4)*(Escaleta!$H$5:$H$504=I$6)*(Escaleta!$K$5:$K$504&lt;&gt;"Cancelada")*(Escaleta!$C$5:$C$504&lt;$A162+Configuración!$C$7/1440)*(Escaleta!$E$5:$E$504&gt;$A162)*ROW(Escaleta!$A$5:$A$504))))</f>
        <v/>
      </c>
      <c r="U162" s="50">
        <f>IF(L162=0,"",INDEX(Escaleta!$I$1:$I$504,L162))</f>
        <v/>
      </c>
      <c r="V162" s="50">
        <f>IF(M162=0,"",INDEX(Escaleta!$I$1:$I$504,M162))</f>
        <v/>
      </c>
      <c r="W162" s="50">
        <f>IF(N162=0,"",INDEX(Escaleta!$I$1:$I$504,N162))</f>
        <v/>
      </c>
      <c r="X162" s="50">
        <f>IF(O162=0,"",INDEX(Escaleta!$I$1:$I$504,O162))</f>
        <v/>
      </c>
      <c r="Y162" s="50">
        <f>IF(P162=0,"",INDEX(Escaleta!$I$1:$I$504,P162))</f>
        <v/>
      </c>
      <c r="Z162" s="50">
        <f>IF(Q162=0,"",INDEX(Escaleta!$I$1:$I$504,Q162))</f>
        <v/>
      </c>
      <c r="AA162" s="50">
        <f>IF(R162=0,"",INDEX(Escaleta!$I$1:$I$504,R162))</f>
        <v/>
      </c>
      <c r="AB162" s="50">
        <f>IF(S162=0,"",INDEX(Escaleta!$I$1:$I$504,S162))</f>
        <v/>
      </c>
    </row>
    <row r="163" ht="18" customHeight="1">
      <c r="A163" s="48">
        <f>IF(A162="","",IF(A162+Configuración!$C$7/1440&gt;Configuración!$C$6-0.0001,"",A162+Configuración!$C$7/1440))</f>
        <v/>
      </c>
      <c r="B163" s="49">
        <f>IF(L163=0,"",IF(L163&lt;&gt;L162,INDEX(Escaleta!$F$1:$F$504,L163),IF(L163&lt;&gt;L161,TEXT(INDEX(Escaleta!$C$1:$C$504,L163),"hh:mm")&amp;"–"&amp;TEXT(INDEX(Escaleta!$E$1:$E$504,L163),"hh:mm"),"")))</f>
        <v/>
      </c>
      <c r="C163" s="49">
        <f>IF(M163=0,"",IF(M163&lt;&gt;M162,INDEX(Escaleta!$F$1:$F$504,M163),IF(M163&lt;&gt;M161,TEXT(INDEX(Escaleta!$C$1:$C$504,M163),"hh:mm")&amp;"–"&amp;TEXT(INDEX(Escaleta!$E$1:$E$504,M163),"hh:mm"),"")))</f>
        <v/>
      </c>
      <c r="D163" s="49">
        <f>IF(N163=0,"",IF(N163&lt;&gt;N162,INDEX(Escaleta!$F$1:$F$504,N163),IF(N163&lt;&gt;N161,TEXT(INDEX(Escaleta!$C$1:$C$504,N163),"hh:mm")&amp;"–"&amp;TEXT(INDEX(Escaleta!$E$1:$E$504,N163),"hh:mm"),"")))</f>
        <v/>
      </c>
      <c r="E163" s="49">
        <f>IF(O163=0,"",IF(O163&lt;&gt;O162,INDEX(Escaleta!$F$1:$F$504,O163),IF(O163&lt;&gt;O161,TEXT(INDEX(Escaleta!$C$1:$C$504,O163),"hh:mm")&amp;"–"&amp;TEXT(INDEX(Escaleta!$E$1:$E$504,O163),"hh:mm"),"")))</f>
        <v/>
      </c>
      <c r="F163" s="49">
        <f>IF(P163=0,"",IF(P163&lt;&gt;P162,INDEX(Escaleta!$F$1:$F$504,P163),IF(P163&lt;&gt;P161,TEXT(INDEX(Escaleta!$C$1:$C$504,P163),"hh:mm")&amp;"–"&amp;TEXT(INDEX(Escaleta!$E$1:$E$504,P163),"hh:mm"),"")))</f>
        <v/>
      </c>
      <c r="G163" s="49">
        <f>IF(Q163=0,"",IF(Q163&lt;&gt;Q162,INDEX(Escaleta!$F$1:$F$504,Q163),IF(Q163&lt;&gt;Q161,TEXT(INDEX(Escaleta!$C$1:$C$504,Q163),"hh:mm")&amp;"–"&amp;TEXT(INDEX(Escaleta!$E$1:$E$504,Q163),"hh:mm"),"")))</f>
        <v/>
      </c>
      <c r="H163" s="49">
        <f>IF(R163=0,"",IF(R163&lt;&gt;R162,INDEX(Escaleta!$F$1:$F$504,R163),IF(R163&lt;&gt;R161,TEXT(INDEX(Escaleta!$C$1:$C$504,R163),"hh:mm")&amp;"–"&amp;TEXT(INDEX(Escaleta!$E$1:$E$504,R163),"hh:mm"),"")))</f>
        <v/>
      </c>
      <c r="I163" s="49">
        <f>IF(S163=0,"",IF(S163&lt;&gt;S162,INDEX(Escaleta!$F$1:$F$504,S163),IF(S163&lt;&gt;S161,TEXT(INDEX(Escaleta!$C$1:$C$504,S163),"hh:mm")&amp;"–"&amp;TEXT(INDEX(Escaleta!$E$1:$E$504,S163),"hh:mm"),"")))</f>
        <v/>
      </c>
      <c r="L163" s="50">
        <f>IF(OR($A163="",B$6=""),0,SUMPRODUCT(MAX((Escaleta!$A$5:$A$504=$B$4)*(Escaleta!$H$5:$H$504=B$6)*(Escaleta!$K$5:$K$504&lt;&gt;"Cancelada")*(Escaleta!$C$5:$C$504&lt;$A163+Configuración!$C$7/1440)*(Escaleta!$E$5:$E$504&gt;$A163)*ROW(Escaleta!$A$5:$A$504))))</f>
        <v/>
      </c>
      <c r="M163" s="50">
        <f>IF(OR($A163="",C$6=""),0,SUMPRODUCT(MAX((Escaleta!$A$5:$A$504=$B$4)*(Escaleta!$H$5:$H$504=C$6)*(Escaleta!$K$5:$K$504&lt;&gt;"Cancelada")*(Escaleta!$C$5:$C$504&lt;$A163+Configuración!$C$7/1440)*(Escaleta!$E$5:$E$504&gt;$A163)*ROW(Escaleta!$A$5:$A$504))))</f>
        <v/>
      </c>
      <c r="N163" s="50">
        <f>IF(OR($A163="",D$6=""),0,SUMPRODUCT(MAX((Escaleta!$A$5:$A$504=$B$4)*(Escaleta!$H$5:$H$504=D$6)*(Escaleta!$K$5:$K$504&lt;&gt;"Cancelada")*(Escaleta!$C$5:$C$504&lt;$A163+Configuración!$C$7/1440)*(Escaleta!$E$5:$E$504&gt;$A163)*ROW(Escaleta!$A$5:$A$504))))</f>
        <v/>
      </c>
      <c r="O163" s="50">
        <f>IF(OR($A163="",E$6=""),0,SUMPRODUCT(MAX((Escaleta!$A$5:$A$504=$B$4)*(Escaleta!$H$5:$H$504=E$6)*(Escaleta!$K$5:$K$504&lt;&gt;"Cancelada")*(Escaleta!$C$5:$C$504&lt;$A163+Configuración!$C$7/1440)*(Escaleta!$E$5:$E$504&gt;$A163)*ROW(Escaleta!$A$5:$A$504))))</f>
        <v/>
      </c>
      <c r="P163" s="50">
        <f>IF(OR($A163="",F$6=""),0,SUMPRODUCT(MAX((Escaleta!$A$5:$A$504=$B$4)*(Escaleta!$H$5:$H$504=F$6)*(Escaleta!$K$5:$K$504&lt;&gt;"Cancelada")*(Escaleta!$C$5:$C$504&lt;$A163+Configuración!$C$7/1440)*(Escaleta!$E$5:$E$504&gt;$A163)*ROW(Escaleta!$A$5:$A$504))))</f>
        <v/>
      </c>
      <c r="Q163" s="50">
        <f>IF(OR($A163="",G$6=""),0,SUMPRODUCT(MAX((Escaleta!$A$5:$A$504=$B$4)*(Escaleta!$H$5:$H$504=G$6)*(Escaleta!$K$5:$K$504&lt;&gt;"Cancelada")*(Escaleta!$C$5:$C$504&lt;$A163+Configuración!$C$7/1440)*(Escaleta!$E$5:$E$504&gt;$A163)*ROW(Escaleta!$A$5:$A$504))))</f>
        <v/>
      </c>
      <c r="R163" s="50">
        <f>IF(OR($A163="",H$6=""),0,SUMPRODUCT(MAX((Escaleta!$A$5:$A$504=$B$4)*(Escaleta!$H$5:$H$504=H$6)*(Escaleta!$K$5:$K$504&lt;&gt;"Cancelada")*(Escaleta!$C$5:$C$504&lt;$A163+Configuración!$C$7/1440)*(Escaleta!$E$5:$E$504&gt;$A163)*ROW(Escaleta!$A$5:$A$504))))</f>
        <v/>
      </c>
      <c r="S163" s="50">
        <f>IF(OR($A163="",I$6=""),0,SUMPRODUCT(MAX((Escaleta!$A$5:$A$504=$B$4)*(Escaleta!$H$5:$H$504=I$6)*(Escaleta!$K$5:$K$504&lt;&gt;"Cancelada")*(Escaleta!$C$5:$C$504&lt;$A163+Configuración!$C$7/1440)*(Escaleta!$E$5:$E$504&gt;$A163)*ROW(Escaleta!$A$5:$A$504))))</f>
        <v/>
      </c>
      <c r="U163" s="50">
        <f>IF(L163=0,"",INDEX(Escaleta!$I$1:$I$504,L163))</f>
        <v/>
      </c>
      <c r="V163" s="50">
        <f>IF(M163=0,"",INDEX(Escaleta!$I$1:$I$504,M163))</f>
        <v/>
      </c>
      <c r="W163" s="50">
        <f>IF(N163=0,"",INDEX(Escaleta!$I$1:$I$504,N163))</f>
        <v/>
      </c>
      <c r="X163" s="50">
        <f>IF(O163=0,"",INDEX(Escaleta!$I$1:$I$504,O163))</f>
        <v/>
      </c>
      <c r="Y163" s="50">
        <f>IF(P163=0,"",INDEX(Escaleta!$I$1:$I$504,P163))</f>
        <v/>
      </c>
      <c r="Z163" s="50">
        <f>IF(Q163=0,"",INDEX(Escaleta!$I$1:$I$504,Q163))</f>
        <v/>
      </c>
      <c r="AA163" s="50">
        <f>IF(R163=0,"",INDEX(Escaleta!$I$1:$I$504,R163))</f>
        <v/>
      </c>
      <c r="AB163" s="50">
        <f>IF(S163=0,"",INDEX(Escaleta!$I$1:$I$504,S163))</f>
        <v/>
      </c>
    </row>
    <row r="164" ht="18" customHeight="1">
      <c r="A164" s="48">
        <f>IF(A163="","",IF(A163+Configuración!$C$7/1440&gt;Configuración!$C$6-0.0001,"",A163+Configuración!$C$7/1440))</f>
        <v/>
      </c>
      <c r="B164" s="49">
        <f>IF(L164=0,"",IF(L164&lt;&gt;L163,INDEX(Escaleta!$F$1:$F$504,L164),IF(L164&lt;&gt;L162,TEXT(INDEX(Escaleta!$C$1:$C$504,L164),"hh:mm")&amp;"–"&amp;TEXT(INDEX(Escaleta!$E$1:$E$504,L164),"hh:mm"),"")))</f>
        <v/>
      </c>
      <c r="C164" s="49">
        <f>IF(M164=0,"",IF(M164&lt;&gt;M163,INDEX(Escaleta!$F$1:$F$504,M164),IF(M164&lt;&gt;M162,TEXT(INDEX(Escaleta!$C$1:$C$504,M164),"hh:mm")&amp;"–"&amp;TEXT(INDEX(Escaleta!$E$1:$E$504,M164),"hh:mm"),"")))</f>
        <v/>
      </c>
      <c r="D164" s="49">
        <f>IF(N164=0,"",IF(N164&lt;&gt;N163,INDEX(Escaleta!$F$1:$F$504,N164),IF(N164&lt;&gt;N162,TEXT(INDEX(Escaleta!$C$1:$C$504,N164),"hh:mm")&amp;"–"&amp;TEXT(INDEX(Escaleta!$E$1:$E$504,N164),"hh:mm"),"")))</f>
        <v/>
      </c>
      <c r="E164" s="49">
        <f>IF(O164=0,"",IF(O164&lt;&gt;O163,INDEX(Escaleta!$F$1:$F$504,O164),IF(O164&lt;&gt;O162,TEXT(INDEX(Escaleta!$C$1:$C$504,O164),"hh:mm")&amp;"–"&amp;TEXT(INDEX(Escaleta!$E$1:$E$504,O164),"hh:mm"),"")))</f>
        <v/>
      </c>
      <c r="F164" s="49">
        <f>IF(P164=0,"",IF(P164&lt;&gt;P163,INDEX(Escaleta!$F$1:$F$504,P164),IF(P164&lt;&gt;P162,TEXT(INDEX(Escaleta!$C$1:$C$504,P164),"hh:mm")&amp;"–"&amp;TEXT(INDEX(Escaleta!$E$1:$E$504,P164),"hh:mm"),"")))</f>
        <v/>
      </c>
      <c r="G164" s="49">
        <f>IF(Q164=0,"",IF(Q164&lt;&gt;Q163,INDEX(Escaleta!$F$1:$F$504,Q164),IF(Q164&lt;&gt;Q162,TEXT(INDEX(Escaleta!$C$1:$C$504,Q164),"hh:mm")&amp;"–"&amp;TEXT(INDEX(Escaleta!$E$1:$E$504,Q164),"hh:mm"),"")))</f>
        <v/>
      </c>
      <c r="H164" s="49">
        <f>IF(R164=0,"",IF(R164&lt;&gt;R163,INDEX(Escaleta!$F$1:$F$504,R164),IF(R164&lt;&gt;R162,TEXT(INDEX(Escaleta!$C$1:$C$504,R164),"hh:mm")&amp;"–"&amp;TEXT(INDEX(Escaleta!$E$1:$E$504,R164),"hh:mm"),"")))</f>
        <v/>
      </c>
      <c r="I164" s="49">
        <f>IF(S164=0,"",IF(S164&lt;&gt;S163,INDEX(Escaleta!$F$1:$F$504,S164),IF(S164&lt;&gt;S162,TEXT(INDEX(Escaleta!$C$1:$C$504,S164),"hh:mm")&amp;"–"&amp;TEXT(INDEX(Escaleta!$E$1:$E$504,S164),"hh:mm"),"")))</f>
        <v/>
      </c>
      <c r="L164" s="50">
        <f>IF(OR($A164="",B$6=""),0,SUMPRODUCT(MAX((Escaleta!$A$5:$A$504=$B$4)*(Escaleta!$H$5:$H$504=B$6)*(Escaleta!$K$5:$K$504&lt;&gt;"Cancelada")*(Escaleta!$C$5:$C$504&lt;$A164+Configuración!$C$7/1440)*(Escaleta!$E$5:$E$504&gt;$A164)*ROW(Escaleta!$A$5:$A$504))))</f>
        <v/>
      </c>
      <c r="M164" s="50">
        <f>IF(OR($A164="",C$6=""),0,SUMPRODUCT(MAX((Escaleta!$A$5:$A$504=$B$4)*(Escaleta!$H$5:$H$504=C$6)*(Escaleta!$K$5:$K$504&lt;&gt;"Cancelada")*(Escaleta!$C$5:$C$504&lt;$A164+Configuración!$C$7/1440)*(Escaleta!$E$5:$E$504&gt;$A164)*ROW(Escaleta!$A$5:$A$504))))</f>
        <v/>
      </c>
      <c r="N164" s="50">
        <f>IF(OR($A164="",D$6=""),0,SUMPRODUCT(MAX((Escaleta!$A$5:$A$504=$B$4)*(Escaleta!$H$5:$H$504=D$6)*(Escaleta!$K$5:$K$504&lt;&gt;"Cancelada")*(Escaleta!$C$5:$C$504&lt;$A164+Configuración!$C$7/1440)*(Escaleta!$E$5:$E$504&gt;$A164)*ROW(Escaleta!$A$5:$A$504))))</f>
        <v/>
      </c>
      <c r="O164" s="50">
        <f>IF(OR($A164="",E$6=""),0,SUMPRODUCT(MAX((Escaleta!$A$5:$A$504=$B$4)*(Escaleta!$H$5:$H$504=E$6)*(Escaleta!$K$5:$K$504&lt;&gt;"Cancelada")*(Escaleta!$C$5:$C$504&lt;$A164+Configuración!$C$7/1440)*(Escaleta!$E$5:$E$504&gt;$A164)*ROW(Escaleta!$A$5:$A$504))))</f>
        <v/>
      </c>
      <c r="P164" s="50">
        <f>IF(OR($A164="",F$6=""),0,SUMPRODUCT(MAX((Escaleta!$A$5:$A$504=$B$4)*(Escaleta!$H$5:$H$504=F$6)*(Escaleta!$K$5:$K$504&lt;&gt;"Cancelada")*(Escaleta!$C$5:$C$504&lt;$A164+Configuración!$C$7/1440)*(Escaleta!$E$5:$E$504&gt;$A164)*ROW(Escaleta!$A$5:$A$504))))</f>
        <v/>
      </c>
      <c r="Q164" s="50">
        <f>IF(OR($A164="",G$6=""),0,SUMPRODUCT(MAX((Escaleta!$A$5:$A$504=$B$4)*(Escaleta!$H$5:$H$504=G$6)*(Escaleta!$K$5:$K$504&lt;&gt;"Cancelada")*(Escaleta!$C$5:$C$504&lt;$A164+Configuración!$C$7/1440)*(Escaleta!$E$5:$E$504&gt;$A164)*ROW(Escaleta!$A$5:$A$504))))</f>
        <v/>
      </c>
      <c r="R164" s="50">
        <f>IF(OR($A164="",H$6=""),0,SUMPRODUCT(MAX((Escaleta!$A$5:$A$504=$B$4)*(Escaleta!$H$5:$H$504=H$6)*(Escaleta!$K$5:$K$504&lt;&gt;"Cancelada")*(Escaleta!$C$5:$C$504&lt;$A164+Configuración!$C$7/1440)*(Escaleta!$E$5:$E$504&gt;$A164)*ROW(Escaleta!$A$5:$A$504))))</f>
        <v/>
      </c>
      <c r="S164" s="50">
        <f>IF(OR($A164="",I$6=""),0,SUMPRODUCT(MAX((Escaleta!$A$5:$A$504=$B$4)*(Escaleta!$H$5:$H$504=I$6)*(Escaleta!$K$5:$K$504&lt;&gt;"Cancelada")*(Escaleta!$C$5:$C$504&lt;$A164+Configuración!$C$7/1440)*(Escaleta!$E$5:$E$504&gt;$A164)*ROW(Escaleta!$A$5:$A$504))))</f>
        <v/>
      </c>
      <c r="U164" s="50">
        <f>IF(L164=0,"",INDEX(Escaleta!$I$1:$I$504,L164))</f>
        <v/>
      </c>
      <c r="V164" s="50">
        <f>IF(M164=0,"",INDEX(Escaleta!$I$1:$I$504,M164))</f>
        <v/>
      </c>
      <c r="W164" s="50">
        <f>IF(N164=0,"",INDEX(Escaleta!$I$1:$I$504,N164))</f>
        <v/>
      </c>
      <c r="X164" s="50">
        <f>IF(O164=0,"",INDEX(Escaleta!$I$1:$I$504,O164))</f>
        <v/>
      </c>
      <c r="Y164" s="50">
        <f>IF(P164=0,"",INDEX(Escaleta!$I$1:$I$504,P164))</f>
        <v/>
      </c>
      <c r="Z164" s="50">
        <f>IF(Q164=0,"",INDEX(Escaleta!$I$1:$I$504,Q164))</f>
        <v/>
      </c>
      <c r="AA164" s="50">
        <f>IF(R164=0,"",INDEX(Escaleta!$I$1:$I$504,R164))</f>
        <v/>
      </c>
      <c r="AB164" s="50">
        <f>IF(S164=0,"",INDEX(Escaleta!$I$1:$I$504,S164))</f>
        <v/>
      </c>
    </row>
    <row r="165" ht="18" customHeight="1">
      <c r="A165" s="48">
        <f>IF(A164="","",IF(A164+Configuración!$C$7/1440&gt;Configuración!$C$6-0.0001,"",A164+Configuración!$C$7/1440))</f>
        <v/>
      </c>
      <c r="B165" s="49">
        <f>IF(L165=0,"",IF(L165&lt;&gt;L164,INDEX(Escaleta!$F$1:$F$504,L165),IF(L165&lt;&gt;L163,TEXT(INDEX(Escaleta!$C$1:$C$504,L165),"hh:mm")&amp;"–"&amp;TEXT(INDEX(Escaleta!$E$1:$E$504,L165),"hh:mm"),"")))</f>
        <v/>
      </c>
      <c r="C165" s="49">
        <f>IF(M165=0,"",IF(M165&lt;&gt;M164,INDEX(Escaleta!$F$1:$F$504,M165),IF(M165&lt;&gt;M163,TEXT(INDEX(Escaleta!$C$1:$C$504,M165),"hh:mm")&amp;"–"&amp;TEXT(INDEX(Escaleta!$E$1:$E$504,M165),"hh:mm"),"")))</f>
        <v/>
      </c>
      <c r="D165" s="49">
        <f>IF(N165=0,"",IF(N165&lt;&gt;N164,INDEX(Escaleta!$F$1:$F$504,N165),IF(N165&lt;&gt;N163,TEXT(INDEX(Escaleta!$C$1:$C$504,N165),"hh:mm")&amp;"–"&amp;TEXT(INDEX(Escaleta!$E$1:$E$504,N165),"hh:mm"),"")))</f>
        <v/>
      </c>
      <c r="E165" s="49">
        <f>IF(O165=0,"",IF(O165&lt;&gt;O164,INDEX(Escaleta!$F$1:$F$504,O165),IF(O165&lt;&gt;O163,TEXT(INDEX(Escaleta!$C$1:$C$504,O165),"hh:mm")&amp;"–"&amp;TEXT(INDEX(Escaleta!$E$1:$E$504,O165),"hh:mm"),"")))</f>
        <v/>
      </c>
      <c r="F165" s="49">
        <f>IF(P165=0,"",IF(P165&lt;&gt;P164,INDEX(Escaleta!$F$1:$F$504,P165),IF(P165&lt;&gt;P163,TEXT(INDEX(Escaleta!$C$1:$C$504,P165),"hh:mm")&amp;"–"&amp;TEXT(INDEX(Escaleta!$E$1:$E$504,P165),"hh:mm"),"")))</f>
        <v/>
      </c>
      <c r="G165" s="49">
        <f>IF(Q165=0,"",IF(Q165&lt;&gt;Q164,INDEX(Escaleta!$F$1:$F$504,Q165),IF(Q165&lt;&gt;Q163,TEXT(INDEX(Escaleta!$C$1:$C$504,Q165),"hh:mm")&amp;"–"&amp;TEXT(INDEX(Escaleta!$E$1:$E$504,Q165),"hh:mm"),"")))</f>
        <v/>
      </c>
      <c r="H165" s="49">
        <f>IF(R165=0,"",IF(R165&lt;&gt;R164,INDEX(Escaleta!$F$1:$F$504,R165),IF(R165&lt;&gt;R163,TEXT(INDEX(Escaleta!$C$1:$C$504,R165),"hh:mm")&amp;"–"&amp;TEXT(INDEX(Escaleta!$E$1:$E$504,R165),"hh:mm"),"")))</f>
        <v/>
      </c>
      <c r="I165" s="49">
        <f>IF(S165=0,"",IF(S165&lt;&gt;S164,INDEX(Escaleta!$F$1:$F$504,S165),IF(S165&lt;&gt;S163,TEXT(INDEX(Escaleta!$C$1:$C$504,S165),"hh:mm")&amp;"–"&amp;TEXT(INDEX(Escaleta!$E$1:$E$504,S165),"hh:mm"),"")))</f>
        <v/>
      </c>
      <c r="L165" s="50">
        <f>IF(OR($A165="",B$6=""),0,SUMPRODUCT(MAX((Escaleta!$A$5:$A$504=$B$4)*(Escaleta!$H$5:$H$504=B$6)*(Escaleta!$K$5:$K$504&lt;&gt;"Cancelada")*(Escaleta!$C$5:$C$504&lt;$A165+Configuración!$C$7/1440)*(Escaleta!$E$5:$E$504&gt;$A165)*ROW(Escaleta!$A$5:$A$504))))</f>
        <v/>
      </c>
      <c r="M165" s="50">
        <f>IF(OR($A165="",C$6=""),0,SUMPRODUCT(MAX((Escaleta!$A$5:$A$504=$B$4)*(Escaleta!$H$5:$H$504=C$6)*(Escaleta!$K$5:$K$504&lt;&gt;"Cancelada")*(Escaleta!$C$5:$C$504&lt;$A165+Configuración!$C$7/1440)*(Escaleta!$E$5:$E$504&gt;$A165)*ROW(Escaleta!$A$5:$A$504))))</f>
        <v/>
      </c>
      <c r="N165" s="50">
        <f>IF(OR($A165="",D$6=""),0,SUMPRODUCT(MAX((Escaleta!$A$5:$A$504=$B$4)*(Escaleta!$H$5:$H$504=D$6)*(Escaleta!$K$5:$K$504&lt;&gt;"Cancelada")*(Escaleta!$C$5:$C$504&lt;$A165+Configuración!$C$7/1440)*(Escaleta!$E$5:$E$504&gt;$A165)*ROW(Escaleta!$A$5:$A$504))))</f>
        <v/>
      </c>
      <c r="O165" s="50">
        <f>IF(OR($A165="",E$6=""),0,SUMPRODUCT(MAX((Escaleta!$A$5:$A$504=$B$4)*(Escaleta!$H$5:$H$504=E$6)*(Escaleta!$K$5:$K$504&lt;&gt;"Cancelada")*(Escaleta!$C$5:$C$504&lt;$A165+Configuración!$C$7/1440)*(Escaleta!$E$5:$E$504&gt;$A165)*ROW(Escaleta!$A$5:$A$504))))</f>
        <v/>
      </c>
      <c r="P165" s="50">
        <f>IF(OR($A165="",F$6=""),0,SUMPRODUCT(MAX((Escaleta!$A$5:$A$504=$B$4)*(Escaleta!$H$5:$H$504=F$6)*(Escaleta!$K$5:$K$504&lt;&gt;"Cancelada")*(Escaleta!$C$5:$C$504&lt;$A165+Configuración!$C$7/1440)*(Escaleta!$E$5:$E$504&gt;$A165)*ROW(Escaleta!$A$5:$A$504))))</f>
        <v/>
      </c>
      <c r="Q165" s="50">
        <f>IF(OR($A165="",G$6=""),0,SUMPRODUCT(MAX((Escaleta!$A$5:$A$504=$B$4)*(Escaleta!$H$5:$H$504=G$6)*(Escaleta!$K$5:$K$504&lt;&gt;"Cancelada")*(Escaleta!$C$5:$C$504&lt;$A165+Configuración!$C$7/1440)*(Escaleta!$E$5:$E$504&gt;$A165)*ROW(Escaleta!$A$5:$A$504))))</f>
        <v/>
      </c>
      <c r="R165" s="50">
        <f>IF(OR($A165="",H$6=""),0,SUMPRODUCT(MAX((Escaleta!$A$5:$A$504=$B$4)*(Escaleta!$H$5:$H$504=H$6)*(Escaleta!$K$5:$K$504&lt;&gt;"Cancelada")*(Escaleta!$C$5:$C$504&lt;$A165+Configuración!$C$7/1440)*(Escaleta!$E$5:$E$504&gt;$A165)*ROW(Escaleta!$A$5:$A$504))))</f>
        <v/>
      </c>
      <c r="S165" s="50">
        <f>IF(OR($A165="",I$6=""),0,SUMPRODUCT(MAX((Escaleta!$A$5:$A$504=$B$4)*(Escaleta!$H$5:$H$504=I$6)*(Escaleta!$K$5:$K$504&lt;&gt;"Cancelada")*(Escaleta!$C$5:$C$504&lt;$A165+Configuración!$C$7/1440)*(Escaleta!$E$5:$E$504&gt;$A165)*ROW(Escaleta!$A$5:$A$504))))</f>
        <v/>
      </c>
      <c r="U165" s="50">
        <f>IF(L165=0,"",INDEX(Escaleta!$I$1:$I$504,L165))</f>
        <v/>
      </c>
      <c r="V165" s="50">
        <f>IF(M165=0,"",INDEX(Escaleta!$I$1:$I$504,M165))</f>
        <v/>
      </c>
      <c r="W165" s="50">
        <f>IF(N165=0,"",INDEX(Escaleta!$I$1:$I$504,N165))</f>
        <v/>
      </c>
      <c r="X165" s="50">
        <f>IF(O165=0,"",INDEX(Escaleta!$I$1:$I$504,O165))</f>
        <v/>
      </c>
      <c r="Y165" s="50">
        <f>IF(P165=0,"",INDEX(Escaleta!$I$1:$I$504,P165))</f>
        <v/>
      </c>
      <c r="Z165" s="50">
        <f>IF(Q165=0,"",INDEX(Escaleta!$I$1:$I$504,Q165))</f>
        <v/>
      </c>
      <c r="AA165" s="50">
        <f>IF(R165=0,"",INDEX(Escaleta!$I$1:$I$504,R165))</f>
        <v/>
      </c>
      <c r="AB165" s="50">
        <f>IF(S165=0,"",INDEX(Escaleta!$I$1:$I$504,S165))</f>
        <v/>
      </c>
    </row>
    <row r="166" ht="18" customHeight="1">
      <c r="A166" s="48">
        <f>IF(A165="","",IF(A165+Configuración!$C$7/1440&gt;Configuración!$C$6-0.0001,"",A165+Configuración!$C$7/1440))</f>
        <v/>
      </c>
      <c r="B166" s="49">
        <f>IF(L166=0,"",IF(L166&lt;&gt;L165,INDEX(Escaleta!$F$1:$F$504,L166),IF(L166&lt;&gt;L164,TEXT(INDEX(Escaleta!$C$1:$C$504,L166),"hh:mm")&amp;"–"&amp;TEXT(INDEX(Escaleta!$E$1:$E$504,L166),"hh:mm"),"")))</f>
        <v/>
      </c>
      <c r="C166" s="49">
        <f>IF(M166=0,"",IF(M166&lt;&gt;M165,INDEX(Escaleta!$F$1:$F$504,M166),IF(M166&lt;&gt;M164,TEXT(INDEX(Escaleta!$C$1:$C$504,M166),"hh:mm")&amp;"–"&amp;TEXT(INDEX(Escaleta!$E$1:$E$504,M166),"hh:mm"),"")))</f>
        <v/>
      </c>
      <c r="D166" s="49">
        <f>IF(N166=0,"",IF(N166&lt;&gt;N165,INDEX(Escaleta!$F$1:$F$504,N166),IF(N166&lt;&gt;N164,TEXT(INDEX(Escaleta!$C$1:$C$504,N166),"hh:mm")&amp;"–"&amp;TEXT(INDEX(Escaleta!$E$1:$E$504,N166),"hh:mm"),"")))</f>
        <v/>
      </c>
      <c r="E166" s="49">
        <f>IF(O166=0,"",IF(O166&lt;&gt;O165,INDEX(Escaleta!$F$1:$F$504,O166),IF(O166&lt;&gt;O164,TEXT(INDEX(Escaleta!$C$1:$C$504,O166),"hh:mm")&amp;"–"&amp;TEXT(INDEX(Escaleta!$E$1:$E$504,O166),"hh:mm"),"")))</f>
        <v/>
      </c>
      <c r="F166" s="49">
        <f>IF(P166=0,"",IF(P166&lt;&gt;P165,INDEX(Escaleta!$F$1:$F$504,P166),IF(P166&lt;&gt;P164,TEXT(INDEX(Escaleta!$C$1:$C$504,P166),"hh:mm")&amp;"–"&amp;TEXT(INDEX(Escaleta!$E$1:$E$504,P166),"hh:mm"),"")))</f>
        <v/>
      </c>
      <c r="G166" s="49">
        <f>IF(Q166=0,"",IF(Q166&lt;&gt;Q165,INDEX(Escaleta!$F$1:$F$504,Q166),IF(Q166&lt;&gt;Q164,TEXT(INDEX(Escaleta!$C$1:$C$504,Q166),"hh:mm")&amp;"–"&amp;TEXT(INDEX(Escaleta!$E$1:$E$504,Q166),"hh:mm"),"")))</f>
        <v/>
      </c>
      <c r="H166" s="49">
        <f>IF(R166=0,"",IF(R166&lt;&gt;R165,INDEX(Escaleta!$F$1:$F$504,R166),IF(R166&lt;&gt;R164,TEXT(INDEX(Escaleta!$C$1:$C$504,R166),"hh:mm")&amp;"–"&amp;TEXT(INDEX(Escaleta!$E$1:$E$504,R166),"hh:mm"),"")))</f>
        <v/>
      </c>
      <c r="I166" s="49">
        <f>IF(S166=0,"",IF(S166&lt;&gt;S165,INDEX(Escaleta!$F$1:$F$504,S166),IF(S166&lt;&gt;S164,TEXT(INDEX(Escaleta!$C$1:$C$504,S166),"hh:mm")&amp;"–"&amp;TEXT(INDEX(Escaleta!$E$1:$E$504,S166),"hh:mm"),"")))</f>
        <v/>
      </c>
      <c r="L166" s="50">
        <f>IF(OR($A166="",B$6=""),0,SUMPRODUCT(MAX((Escaleta!$A$5:$A$504=$B$4)*(Escaleta!$H$5:$H$504=B$6)*(Escaleta!$K$5:$K$504&lt;&gt;"Cancelada")*(Escaleta!$C$5:$C$504&lt;$A166+Configuración!$C$7/1440)*(Escaleta!$E$5:$E$504&gt;$A166)*ROW(Escaleta!$A$5:$A$504))))</f>
        <v/>
      </c>
      <c r="M166" s="50">
        <f>IF(OR($A166="",C$6=""),0,SUMPRODUCT(MAX((Escaleta!$A$5:$A$504=$B$4)*(Escaleta!$H$5:$H$504=C$6)*(Escaleta!$K$5:$K$504&lt;&gt;"Cancelada")*(Escaleta!$C$5:$C$504&lt;$A166+Configuración!$C$7/1440)*(Escaleta!$E$5:$E$504&gt;$A166)*ROW(Escaleta!$A$5:$A$504))))</f>
        <v/>
      </c>
      <c r="N166" s="50">
        <f>IF(OR($A166="",D$6=""),0,SUMPRODUCT(MAX((Escaleta!$A$5:$A$504=$B$4)*(Escaleta!$H$5:$H$504=D$6)*(Escaleta!$K$5:$K$504&lt;&gt;"Cancelada")*(Escaleta!$C$5:$C$504&lt;$A166+Configuración!$C$7/1440)*(Escaleta!$E$5:$E$504&gt;$A166)*ROW(Escaleta!$A$5:$A$504))))</f>
        <v/>
      </c>
      <c r="O166" s="50">
        <f>IF(OR($A166="",E$6=""),0,SUMPRODUCT(MAX((Escaleta!$A$5:$A$504=$B$4)*(Escaleta!$H$5:$H$504=E$6)*(Escaleta!$K$5:$K$504&lt;&gt;"Cancelada")*(Escaleta!$C$5:$C$504&lt;$A166+Configuración!$C$7/1440)*(Escaleta!$E$5:$E$504&gt;$A166)*ROW(Escaleta!$A$5:$A$504))))</f>
        <v/>
      </c>
      <c r="P166" s="50">
        <f>IF(OR($A166="",F$6=""),0,SUMPRODUCT(MAX((Escaleta!$A$5:$A$504=$B$4)*(Escaleta!$H$5:$H$504=F$6)*(Escaleta!$K$5:$K$504&lt;&gt;"Cancelada")*(Escaleta!$C$5:$C$504&lt;$A166+Configuración!$C$7/1440)*(Escaleta!$E$5:$E$504&gt;$A166)*ROW(Escaleta!$A$5:$A$504))))</f>
        <v/>
      </c>
      <c r="Q166" s="50">
        <f>IF(OR($A166="",G$6=""),0,SUMPRODUCT(MAX((Escaleta!$A$5:$A$504=$B$4)*(Escaleta!$H$5:$H$504=G$6)*(Escaleta!$K$5:$K$504&lt;&gt;"Cancelada")*(Escaleta!$C$5:$C$504&lt;$A166+Configuración!$C$7/1440)*(Escaleta!$E$5:$E$504&gt;$A166)*ROW(Escaleta!$A$5:$A$504))))</f>
        <v/>
      </c>
      <c r="R166" s="50">
        <f>IF(OR($A166="",H$6=""),0,SUMPRODUCT(MAX((Escaleta!$A$5:$A$504=$B$4)*(Escaleta!$H$5:$H$504=H$6)*(Escaleta!$K$5:$K$504&lt;&gt;"Cancelada")*(Escaleta!$C$5:$C$504&lt;$A166+Configuración!$C$7/1440)*(Escaleta!$E$5:$E$504&gt;$A166)*ROW(Escaleta!$A$5:$A$504))))</f>
        <v/>
      </c>
      <c r="S166" s="50">
        <f>IF(OR($A166="",I$6=""),0,SUMPRODUCT(MAX((Escaleta!$A$5:$A$504=$B$4)*(Escaleta!$H$5:$H$504=I$6)*(Escaleta!$K$5:$K$504&lt;&gt;"Cancelada")*(Escaleta!$C$5:$C$504&lt;$A166+Configuración!$C$7/1440)*(Escaleta!$E$5:$E$504&gt;$A166)*ROW(Escaleta!$A$5:$A$504))))</f>
        <v/>
      </c>
      <c r="U166" s="50">
        <f>IF(L166=0,"",INDEX(Escaleta!$I$1:$I$504,L166))</f>
        <v/>
      </c>
      <c r="V166" s="50">
        <f>IF(M166=0,"",INDEX(Escaleta!$I$1:$I$504,M166))</f>
        <v/>
      </c>
      <c r="W166" s="50">
        <f>IF(N166=0,"",INDEX(Escaleta!$I$1:$I$504,N166))</f>
        <v/>
      </c>
      <c r="X166" s="50">
        <f>IF(O166=0,"",INDEX(Escaleta!$I$1:$I$504,O166))</f>
        <v/>
      </c>
      <c r="Y166" s="50">
        <f>IF(P166=0,"",INDEX(Escaleta!$I$1:$I$504,P166))</f>
        <v/>
      </c>
      <c r="Z166" s="50">
        <f>IF(Q166=0,"",INDEX(Escaleta!$I$1:$I$504,Q166))</f>
        <v/>
      </c>
      <c r="AA166" s="50">
        <f>IF(R166=0,"",INDEX(Escaleta!$I$1:$I$504,R166))</f>
        <v/>
      </c>
      <c r="AB166" s="50">
        <f>IF(S166=0,"",INDEX(Escaleta!$I$1:$I$504,S166))</f>
        <v/>
      </c>
    </row>
    <row r="167" ht="18" customHeight="1">
      <c r="A167" s="48">
        <f>IF(A166="","",IF(A166+Configuración!$C$7/1440&gt;Configuración!$C$6-0.0001,"",A166+Configuración!$C$7/1440))</f>
        <v/>
      </c>
      <c r="B167" s="49">
        <f>IF(L167=0,"",IF(L167&lt;&gt;L166,INDEX(Escaleta!$F$1:$F$504,L167),IF(L167&lt;&gt;L165,TEXT(INDEX(Escaleta!$C$1:$C$504,L167),"hh:mm")&amp;"–"&amp;TEXT(INDEX(Escaleta!$E$1:$E$504,L167),"hh:mm"),"")))</f>
        <v/>
      </c>
      <c r="C167" s="49">
        <f>IF(M167=0,"",IF(M167&lt;&gt;M166,INDEX(Escaleta!$F$1:$F$504,M167),IF(M167&lt;&gt;M165,TEXT(INDEX(Escaleta!$C$1:$C$504,M167),"hh:mm")&amp;"–"&amp;TEXT(INDEX(Escaleta!$E$1:$E$504,M167),"hh:mm"),"")))</f>
        <v/>
      </c>
      <c r="D167" s="49">
        <f>IF(N167=0,"",IF(N167&lt;&gt;N166,INDEX(Escaleta!$F$1:$F$504,N167),IF(N167&lt;&gt;N165,TEXT(INDEX(Escaleta!$C$1:$C$504,N167),"hh:mm")&amp;"–"&amp;TEXT(INDEX(Escaleta!$E$1:$E$504,N167),"hh:mm"),"")))</f>
        <v/>
      </c>
      <c r="E167" s="49">
        <f>IF(O167=0,"",IF(O167&lt;&gt;O166,INDEX(Escaleta!$F$1:$F$504,O167),IF(O167&lt;&gt;O165,TEXT(INDEX(Escaleta!$C$1:$C$504,O167),"hh:mm")&amp;"–"&amp;TEXT(INDEX(Escaleta!$E$1:$E$504,O167),"hh:mm"),"")))</f>
        <v/>
      </c>
      <c r="F167" s="49">
        <f>IF(P167=0,"",IF(P167&lt;&gt;P166,INDEX(Escaleta!$F$1:$F$504,P167),IF(P167&lt;&gt;P165,TEXT(INDEX(Escaleta!$C$1:$C$504,P167),"hh:mm")&amp;"–"&amp;TEXT(INDEX(Escaleta!$E$1:$E$504,P167),"hh:mm"),"")))</f>
        <v/>
      </c>
      <c r="G167" s="49">
        <f>IF(Q167=0,"",IF(Q167&lt;&gt;Q166,INDEX(Escaleta!$F$1:$F$504,Q167),IF(Q167&lt;&gt;Q165,TEXT(INDEX(Escaleta!$C$1:$C$504,Q167),"hh:mm")&amp;"–"&amp;TEXT(INDEX(Escaleta!$E$1:$E$504,Q167),"hh:mm"),"")))</f>
        <v/>
      </c>
      <c r="H167" s="49">
        <f>IF(R167=0,"",IF(R167&lt;&gt;R166,INDEX(Escaleta!$F$1:$F$504,R167),IF(R167&lt;&gt;R165,TEXT(INDEX(Escaleta!$C$1:$C$504,R167),"hh:mm")&amp;"–"&amp;TEXT(INDEX(Escaleta!$E$1:$E$504,R167),"hh:mm"),"")))</f>
        <v/>
      </c>
      <c r="I167" s="49">
        <f>IF(S167=0,"",IF(S167&lt;&gt;S166,INDEX(Escaleta!$F$1:$F$504,S167),IF(S167&lt;&gt;S165,TEXT(INDEX(Escaleta!$C$1:$C$504,S167),"hh:mm")&amp;"–"&amp;TEXT(INDEX(Escaleta!$E$1:$E$504,S167),"hh:mm"),"")))</f>
        <v/>
      </c>
      <c r="L167" s="50">
        <f>IF(OR($A167="",B$6=""),0,SUMPRODUCT(MAX((Escaleta!$A$5:$A$504=$B$4)*(Escaleta!$H$5:$H$504=B$6)*(Escaleta!$K$5:$K$504&lt;&gt;"Cancelada")*(Escaleta!$C$5:$C$504&lt;$A167+Configuración!$C$7/1440)*(Escaleta!$E$5:$E$504&gt;$A167)*ROW(Escaleta!$A$5:$A$504))))</f>
        <v/>
      </c>
      <c r="M167" s="50">
        <f>IF(OR($A167="",C$6=""),0,SUMPRODUCT(MAX((Escaleta!$A$5:$A$504=$B$4)*(Escaleta!$H$5:$H$504=C$6)*(Escaleta!$K$5:$K$504&lt;&gt;"Cancelada")*(Escaleta!$C$5:$C$504&lt;$A167+Configuración!$C$7/1440)*(Escaleta!$E$5:$E$504&gt;$A167)*ROW(Escaleta!$A$5:$A$504))))</f>
        <v/>
      </c>
      <c r="N167" s="50">
        <f>IF(OR($A167="",D$6=""),0,SUMPRODUCT(MAX((Escaleta!$A$5:$A$504=$B$4)*(Escaleta!$H$5:$H$504=D$6)*(Escaleta!$K$5:$K$504&lt;&gt;"Cancelada")*(Escaleta!$C$5:$C$504&lt;$A167+Configuración!$C$7/1440)*(Escaleta!$E$5:$E$504&gt;$A167)*ROW(Escaleta!$A$5:$A$504))))</f>
        <v/>
      </c>
      <c r="O167" s="50">
        <f>IF(OR($A167="",E$6=""),0,SUMPRODUCT(MAX((Escaleta!$A$5:$A$504=$B$4)*(Escaleta!$H$5:$H$504=E$6)*(Escaleta!$K$5:$K$504&lt;&gt;"Cancelada")*(Escaleta!$C$5:$C$504&lt;$A167+Configuración!$C$7/1440)*(Escaleta!$E$5:$E$504&gt;$A167)*ROW(Escaleta!$A$5:$A$504))))</f>
        <v/>
      </c>
      <c r="P167" s="50">
        <f>IF(OR($A167="",F$6=""),0,SUMPRODUCT(MAX((Escaleta!$A$5:$A$504=$B$4)*(Escaleta!$H$5:$H$504=F$6)*(Escaleta!$K$5:$K$504&lt;&gt;"Cancelada")*(Escaleta!$C$5:$C$504&lt;$A167+Configuración!$C$7/1440)*(Escaleta!$E$5:$E$504&gt;$A167)*ROW(Escaleta!$A$5:$A$504))))</f>
        <v/>
      </c>
      <c r="Q167" s="50">
        <f>IF(OR($A167="",G$6=""),0,SUMPRODUCT(MAX((Escaleta!$A$5:$A$504=$B$4)*(Escaleta!$H$5:$H$504=G$6)*(Escaleta!$K$5:$K$504&lt;&gt;"Cancelada")*(Escaleta!$C$5:$C$504&lt;$A167+Configuración!$C$7/1440)*(Escaleta!$E$5:$E$504&gt;$A167)*ROW(Escaleta!$A$5:$A$504))))</f>
        <v/>
      </c>
      <c r="R167" s="50">
        <f>IF(OR($A167="",H$6=""),0,SUMPRODUCT(MAX((Escaleta!$A$5:$A$504=$B$4)*(Escaleta!$H$5:$H$504=H$6)*(Escaleta!$K$5:$K$504&lt;&gt;"Cancelada")*(Escaleta!$C$5:$C$504&lt;$A167+Configuración!$C$7/1440)*(Escaleta!$E$5:$E$504&gt;$A167)*ROW(Escaleta!$A$5:$A$504))))</f>
        <v/>
      </c>
      <c r="S167" s="50">
        <f>IF(OR($A167="",I$6=""),0,SUMPRODUCT(MAX((Escaleta!$A$5:$A$504=$B$4)*(Escaleta!$H$5:$H$504=I$6)*(Escaleta!$K$5:$K$504&lt;&gt;"Cancelada")*(Escaleta!$C$5:$C$504&lt;$A167+Configuración!$C$7/1440)*(Escaleta!$E$5:$E$504&gt;$A167)*ROW(Escaleta!$A$5:$A$504))))</f>
        <v/>
      </c>
      <c r="U167" s="50">
        <f>IF(L167=0,"",INDEX(Escaleta!$I$1:$I$504,L167))</f>
        <v/>
      </c>
      <c r="V167" s="50">
        <f>IF(M167=0,"",INDEX(Escaleta!$I$1:$I$504,M167))</f>
        <v/>
      </c>
      <c r="W167" s="50">
        <f>IF(N167=0,"",INDEX(Escaleta!$I$1:$I$504,N167))</f>
        <v/>
      </c>
      <c r="X167" s="50">
        <f>IF(O167=0,"",INDEX(Escaleta!$I$1:$I$504,O167))</f>
        <v/>
      </c>
      <c r="Y167" s="50">
        <f>IF(P167=0,"",INDEX(Escaleta!$I$1:$I$504,P167))</f>
        <v/>
      </c>
      <c r="Z167" s="50">
        <f>IF(Q167=0,"",INDEX(Escaleta!$I$1:$I$504,Q167))</f>
        <v/>
      </c>
      <c r="AA167" s="50">
        <f>IF(R167=0,"",INDEX(Escaleta!$I$1:$I$504,R167))</f>
        <v/>
      </c>
      <c r="AB167" s="50">
        <f>IF(S167=0,"",INDEX(Escaleta!$I$1:$I$504,S167))</f>
        <v/>
      </c>
    </row>
    <row r="168" ht="18" customHeight="1">
      <c r="A168" s="48">
        <f>IF(A167="","",IF(A167+Configuración!$C$7/1440&gt;Configuración!$C$6-0.0001,"",A167+Configuración!$C$7/1440))</f>
        <v/>
      </c>
      <c r="B168" s="49">
        <f>IF(L168=0,"",IF(L168&lt;&gt;L167,INDEX(Escaleta!$F$1:$F$504,L168),IF(L168&lt;&gt;L166,TEXT(INDEX(Escaleta!$C$1:$C$504,L168),"hh:mm")&amp;"–"&amp;TEXT(INDEX(Escaleta!$E$1:$E$504,L168),"hh:mm"),"")))</f>
        <v/>
      </c>
      <c r="C168" s="49">
        <f>IF(M168=0,"",IF(M168&lt;&gt;M167,INDEX(Escaleta!$F$1:$F$504,M168),IF(M168&lt;&gt;M166,TEXT(INDEX(Escaleta!$C$1:$C$504,M168),"hh:mm")&amp;"–"&amp;TEXT(INDEX(Escaleta!$E$1:$E$504,M168),"hh:mm"),"")))</f>
        <v/>
      </c>
      <c r="D168" s="49">
        <f>IF(N168=0,"",IF(N168&lt;&gt;N167,INDEX(Escaleta!$F$1:$F$504,N168),IF(N168&lt;&gt;N166,TEXT(INDEX(Escaleta!$C$1:$C$504,N168),"hh:mm")&amp;"–"&amp;TEXT(INDEX(Escaleta!$E$1:$E$504,N168),"hh:mm"),"")))</f>
        <v/>
      </c>
      <c r="E168" s="49">
        <f>IF(O168=0,"",IF(O168&lt;&gt;O167,INDEX(Escaleta!$F$1:$F$504,O168),IF(O168&lt;&gt;O166,TEXT(INDEX(Escaleta!$C$1:$C$504,O168),"hh:mm")&amp;"–"&amp;TEXT(INDEX(Escaleta!$E$1:$E$504,O168),"hh:mm"),"")))</f>
        <v/>
      </c>
      <c r="F168" s="49">
        <f>IF(P168=0,"",IF(P168&lt;&gt;P167,INDEX(Escaleta!$F$1:$F$504,P168),IF(P168&lt;&gt;P166,TEXT(INDEX(Escaleta!$C$1:$C$504,P168),"hh:mm")&amp;"–"&amp;TEXT(INDEX(Escaleta!$E$1:$E$504,P168),"hh:mm"),"")))</f>
        <v/>
      </c>
      <c r="G168" s="49">
        <f>IF(Q168=0,"",IF(Q168&lt;&gt;Q167,INDEX(Escaleta!$F$1:$F$504,Q168),IF(Q168&lt;&gt;Q166,TEXT(INDEX(Escaleta!$C$1:$C$504,Q168),"hh:mm")&amp;"–"&amp;TEXT(INDEX(Escaleta!$E$1:$E$504,Q168),"hh:mm"),"")))</f>
        <v/>
      </c>
      <c r="H168" s="49">
        <f>IF(R168=0,"",IF(R168&lt;&gt;R167,INDEX(Escaleta!$F$1:$F$504,R168),IF(R168&lt;&gt;R166,TEXT(INDEX(Escaleta!$C$1:$C$504,R168),"hh:mm")&amp;"–"&amp;TEXT(INDEX(Escaleta!$E$1:$E$504,R168),"hh:mm"),"")))</f>
        <v/>
      </c>
      <c r="I168" s="49">
        <f>IF(S168=0,"",IF(S168&lt;&gt;S167,INDEX(Escaleta!$F$1:$F$504,S168),IF(S168&lt;&gt;S166,TEXT(INDEX(Escaleta!$C$1:$C$504,S168),"hh:mm")&amp;"–"&amp;TEXT(INDEX(Escaleta!$E$1:$E$504,S168),"hh:mm"),"")))</f>
        <v/>
      </c>
      <c r="L168" s="50">
        <f>IF(OR($A168="",B$6=""),0,SUMPRODUCT(MAX((Escaleta!$A$5:$A$504=$B$4)*(Escaleta!$H$5:$H$504=B$6)*(Escaleta!$K$5:$K$504&lt;&gt;"Cancelada")*(Escaleta!$C$5:$C$504&lt;$A168+Configuración!$C$7/1440)*(Escaleta!$E$5:$E$504&gt;$A168)*ROW(Escaleta!$A$5:$A$504))))</f>
        <v/>
      </c>
      <c r="M168" s="50">
        <f>IF(OR($A168="",C$6=""),0,SUMPRODUCT(MAX((Escaleta!$A$5:$A$504=$B$4)*(Escaleta!$H$5:$H$504=C$6)*(Escaleta!$K$5:$K$504&lt;&gt;"Cancelada")*(Escaleta!$C$5:$C$504&lt;$A168+Configuración!$C$7/1440)*(Escaleta!$E$5:$E$504&gt;$A168)*ROW(Escaleta!$A$5:$A$504))))</f>
        <v/>
      </c>
      <c r="N168" s="50">
        <f>IF(OR($A168="",D$6=""),0,SUMPRODUCT(MAX((Escaleta!$A$5:$A$504=$B$4)*(Escaleta!$H$5:$H$504=D$6)*(Escaleta!$K$5:$K$504&lt;&gt;"Cancelada")*(Escaleta!$C$5:$C$504&lt;$A168+Configuración!$C$7/1440)*(Escaleta!$E$5:$E$504&gt;$A168)*ROW(Escaleta!$A$5:$A$504))))</f>
        <v/>
      </c>
      <c r="O168" s="50">
        <f>IF(OR($A168="",E$6=""),0,SUMPRODUCT(MAX((Escaleta!$A$5:$A$504=$B$4)*(Escaleta!$H$5:$H$504=E$6)*(Escaleta!$K$5:$K$504&lt;&gt;"Cancelada")*(Escaleta!$C$5:$C$504&lt;$A168+Configuración!$C$7/1440)*(Escaleta!$E$5:$E$504&gt;$A168)*ROW(Escaleta!$A$5:$A$504))))</f>
        <v/>
      </c>
      <c r="P168" s="50">
        <f>IF(OR($A168="",F$6=""),0,SUMPRODUCT(MAX((Escaleta!$A$5:$A$504=$B$4)*(Escaleta!$H$5:$H$504=F$6)*(Escaleta!$K$5:$K$504&lt;&gt;"Cancelada")*(Escaleta!$C$5:$C$504&lt;$A168+Configuración!$C$7/1440)*(Escaleta!$E$5:$E$504&gt;$A168)*ROW(Escaleta!$A$5:$A$504))))</f>
        <v/>
      </c>
      <c r="Q168" s="50">
        <f>IF(OR($A168="",G$6=""),0,SUMPRODUCT(MAX((Escaleta!$A$5:$A$504=$B$4)*(Escaleta!$H$5:$H$504=G$6)*(Escaleta!$K$5:$K$504&lt;&gt;"Cancelada")*(Escaleta!$C$5:$C$504&lt;$A168+Configuración!$C$7/1440)*(Escaleta!$E$5:$E$504&gt;$A168)*ROW(Escaleta!$A$5:$A$504))))</f>
        <v/>
      </c>
      <c r="R168" s="50">
        <f>IF(OR($A168="",H$6=""),0,SUMPRODUCT(MAX((Escaleta!$A$5:$A$504=$B$4)*(Escaleta!$H$5:$H$504=H$6)*(Escaleta!$K$5:$K$504&lt;&gt;"Cancelada")*(Escaleta!$C$5:$C$504&lt;$A168+Configuración!$C$7/1440)*(Escaleta!$E$5:$E$504&gt;$A168)*ROW(Escaleta!$A$5:$A$504))))</f>
        <v/>
      </c>
      <c r="S168" s="50">
        <f>IF(OR($A168="",I$6=""),0,SUMPRODUCT(MAX((Escaleta!$A$5:$A$504=$B$4)*(Escaleta!$H$5:$H$504=I$6)*(Escaleta!$K$5:$K$504&lt;&gt;"Cancelada")*(Escaleta!$C$5:$C$504&lt;$A168+Configuración!$C$7/1440)*(Escaleta!$E$5:$E$504&gt;$A168)*ROW(Escaleta!$A$5:$A$504))))</f>
        <v/>
      </c>
      <c r="U168" s="50">
        <f>IF(L168=0,"",INDEX(Escaleta!$I$1:$I$504,L168))</f>
        <v/>
      </c>
      <c r="V168" s="50">
        <f>IF(M168=0,"",INDEX(Escaleta!$I$1:$I$504,M168))</f>
        <v/>
      </c>
      <c r="W168" s="50">
        <f>IF(N168=0,"",INDEX(Escaleta!$I$1:$I$504,N168))</f>
        <v/>
      </c>
      <c r="X168" s="50">
        <f>IF(O168=0,"",INDEX(Escaleta!$I$1:$I$504,O168))</f>
        <v/>
      </c>
      <c r="Y168" s="50">
        <f>IF(P168=0,"",INDEX(Escaleta!$I$1:$I$504,P168))</f>
        <v/>
      </c>
      <c r="Z168" s="50">
        <f>IF(Q168=0,"",INDEX(Escaleta!$I$1:$I$504,Q168))</f>
        <v/>
      </c>
      <c r="AA168" s="50">
        <f>IF(R168=0,"",INDEX(Escaleta!$I$1:$I$504,R168))</f>
        <v/>
      </c>
      <c r="AB168" s="50">
        <f>IF(S168=0,"",INDEX(Escaleta!$I$1:$I$504,S168))</f>
        <v/>
      </c>
    </row>
    <row r="169" ht="18" customHeight="1">
      <c r="A169" s="48">
        <f>IF(A168="","",IF(A168+Configuración!$C$7/1440&gt;Configuración!$C$6-0.0001,"",A168+Configuración!$C$7/1440))</f>
        <v/>
      </c>
      <c r="B169" s="49">
        <f>IF(L169=0,"",IF(L169&lt;&gt;L168,INDEX(Escaleta!$F$1:$F$504,L169),IF(L169&lt;&gt;L167,TEXT(INDEX(Escaleta!$C$1:$C$504,L169),"hh:mm")&amp;"–"&amp;TEXT(INDEX(Escaleta!$E$1:$E$504,L169),"hh:mm"),"")))</f>
        <v/>
      </c>
      <c r="C169" s="49">
        <f>IF(M169=0,"",IF(M169&lt;&gt;M168,INDEX(Escaleta!$F$1:$F$504,M169),IF(M169&lt;&gt;M167,TEXT(INDEX(Escaleta!$C$1:$C$504,M169),"hh:mm")&amp;"–"&amp;TEXT(INDEX(Escaleta!$E$1:$E$504,M169),"hh:mm"),"")))</f>
        <v/>
      </c>
      <c r="D169" s="49">
        <f>IF(N169=0,"",IF(N169&lt;&gt;N168,INDEX(Escaleta!$F$1:$F$504,N169),IF(N169&lt;&gt;N167,TEXT(INDEX(Escaleta!$C$1:$C$504,N169),"hh:mm")&amp;"–"&amp;TEXT(INDEX(Escaleta!$E$1:$E$504,N169),"hh:mm"),"")))</f>
        <v/>
      </c>
      <c r="E169" s="49">
        <f>IF(O169=0,"",IF(O169&lt;&gt;O168,INDEX(Escaleta!$F$1:$F$504,O169),IF(O169&lt;&gt;O167,TEXT(INDEX(Escaleta!$C$1:$C$504,O169),"hh:mm")&amp;"–"&amp;TEXT(INDEX(Escaleta!$E$1:$E$504,O169),"hh:mm"),"")))</f>
        <v/>
      </c>
      <c r="F169" s="49">
        <f>IF(P169=0,"",IF(P169&lt;&gt;P168,INDEX(Escaleta!$F$1:$F$504,P169),IF(P169&lt;&gt;P167,TEXT(INDEX(Escaleta!$C$1:$C$504,P169),"hh:mm")&amp;"–"&amp;TEXT(INDEX(Escaleta!$E$1:$E$504,P169),"hh:mm"),"")))</f>
        <v/>
      </c>
      <c r="G169" s="49">
        <f>IF(Q169=0,"",IF(Q169&lt;&gt;Q168,INDEX(Escaleta!$F$1:$F$504,Q169),IF(Q169&lt;&gt;Q167,TEXT(INDEX(Escaleta!$C$1:$C$504,Q169),"hh:mm")&amp;"–"&amp;TEXT(INDEX(Escaleta!$E$1:$E$504,Q169),"hh:mm"),"")))</f>
        <v/>
      </c>
      <c r="H169" s="49">
        <f>IF(R169=0,"",IF(R169&lt;&gt;R168,INDEX(Escaleta!$F$1:$F$504,R169),IF(R169&lt;&gt;R167,TEXT(INDEX(Escaleta!$C$1:$C$504,R169),"hh:mm")&amp;"–"&amp;TEXT(INDEX(Escaleta!$E$1:$E$504,R169),"hh:mm"),"")))</f>
        <v/>
      </c>
      <c r="I169" s="49">
        <f>IF(S169=0,"",IF(S169&lt;&gt;S168,INDEX(Escaleta!$F$1:$F$504,S169),IF(S169&lt;&gt;S167,TEXT(INDEX(Escaleta!$C$1:$C$504,S169),"hh:mm")&amp;"–"&amp;TEXT(INDEX(Escaleta!$E$1:$E$504,S169),"hh:mm"),"")))</f>
        <v/>
      </c>
      <c r="L169" s="50">
        <f>IF(OR($A169="",B$6=""),0,SUMPRODUCT(MAX((Escaleta!$A$5:$A$504=$B$4)*(Escaleta!$H$5:$H$504=B$6)*(Escaleta!$K$5:$K$504&lt;&gt;"Cancelada")*(Escaleta!$C$5:$C$504&lt;$A169+Configuración!$C$7/1440)*(Escaleta!$E$5:$E$504&gt;$A169)*ROW(Escaleta!$A$5:$A$504))))</f>
        <v/>
      </c>
      <c r="M169" s="50">
        <f>IF(OR($A169="",C$6=""),0,SUMPRODUCT(MAX((Escaleta!$A$5:$A$504=$B$4)*(Escaleta!$H$5:$H$504=C$6)*(Escaleta!$K$5:$K$504&lt;&gt;"Cancelada")*(Escaleta!$C$5:$C$504&lt;$A169+Configuración!$C$7/1440)*(Escaleta!$E$5:$E$504&gt;$A169)*ROW(Escaleta!$A$5:$A$504))))</f>
        <v/>
      </c>
      <c r="N169" s="50">
        <f>IF(OR($A169="",D$6=""),0,SUMPRODUCT(MAX((Escaleta!$A$5:$A$504=$B$4)*(Escaleta!$H$5:$H$504=D$6)*(Escaleta!$K$5:$K$504&lt;&gt;"Cancelada")*(Escaleta!$C$5:$C$504&lt;$A169+Configuración!$C$7/1440)*(Escaleta!$E$5:$E$504&gt;$A169)*ROW(Escaleta!$A$5:$A$504))))</f>
        <v/>
      </c>
      <c r="O169" s="50">
        <f>IF(OR($A169="",E$6=""),0,SUMPRODUCT(MAX((Escaleta!$A$5:$A$504=$B$4)*(Escaleta!$H$5:$H$504=E$6)*(Escaleta!$K$5:$K$504&lt;&gt;"Cancelada")*(Escaleta!$C$5:$C$504&lt;$A169+Configuración!$C$7/1440)*(Escaleta!$E$5:$E$504&gt;$A169)*ROW(Escaleta!$A$5:$A$504))))</f>
        <v/>
      </c>
      <c r="P169" s="50">
        <f>IF(OR($A169="",F$6=""),0,SUMPRODUCT(MAX((Escaleta!$A$5:$A$504=$B$4)*(Escaleta!$H$5:$H$504=F$6)*(Escaleta!$K$5:$K$504&lt;&gt;"Cancelada")*(Escaleta!$C$5:$C$504&lt;$A169+Configuración!$C$7/1440)*(Escaleta!$E$5:$E$504&gt;$A169)*ROW(Escaleta!$A$5:$A$504))))</f>
        <v/>
      </c>
      <c r="Q169" s="50">
        <f>IF(OR($A169="",G$6=""),0,SUMPRODUCT(MAX((Escaleta!$A$5:$A$504=$B$4)*(Escaleta!$H$5:$H$504=G$6)*(Escaleta!$K$5:$K$504&lt;&gt;"Cancelada")*(Escaleta!$C$5:$C$504&lt;$A169+Configuración!$C$7/1440)*(Escaleta!$E$5:$E$504&gt;$A169)*ROW(Escaleta!$A$5:$A$504))))</f>
        <v/>
      </c>
      <c r="R169" s="50">
        <f>IF(OR($A169="",H$6=""),0,SUMPRODUCT(MAX((Escaleta!$A$5:$A$504=$B$4)*(Escaleta!$H$5:$H$504=H$6)*(Escaleta!$K$5:$K$504&lt;&gt;"Cancelada")*(Escaleta!$C$5:$C$504&lt;$A169+Configuración!$C$7/1440)*(Escaleta!$E$5:$E$504&gt;$A169)*ROW(Escaleta!$A$5:$A$504))))</f>
        <v/>
      </c>
      <c r="S169" s="50">
        <f>IF(OR($A169="",I$6=""),0,SUMPRODUCT(MAX((Escaleta!$A$5:$A$504=$B$4)*(Escaleta!$H$5:$H$504=I$6)*(Escaleta!$K$5:$K$504&lt;&gt;"Cancelada")*(Escaleta!$C$5:$C$504&lt;$A169+Configuración!$C$7/1440)*(Escaleta!$E$5:$E$504&gt;$A169)*ROW(Escaleta!$A$5:$A$504))))</f>
        <v/>
      </c>
      <c r="U169" s="50">
        <f>IF(L169=0,"",INDEX(Escaleta!$I$1:$I$504,L169))</f>
        <v/>
      </c>
      <c r="V169" s="50">
        <f>IF(M169=0,"",INDEX(Escaleta!$I$1:$I$504,M169))</f>
        <v/>
      </c>
      <c r="W169" s="50">
        <f>IF(N169=0,"",INDEX(Escaleta!$I$1:$I$504,N169))</f>
        <v/>
      </c>
      <c r="X169" s="50">
        <f>IF(O169=0,"",INDEX(Escaleta!$I$1:$I$504,O169))</f>
        <v/>
      </c>
      <c r="Y169" s="50">
        <f>IF(P169=0,"",INDEX(Escaleta!$I$1:$I$504,P169))</f>
        <v/>
      </c>
      <c r="Z169" s="50">
        <f>IF(Q169=0,"",INDEX(Escaleta!$I$1:$I$504,Q169))</f>
        <v/>
      </c>
      <c r="AA169" s="50">
        <f>IF(R169=0,"",INDEX(Escaleta!$I$1:$I$504,R169))</f>
        <v/>
      </c>
      <c r="AB169" s="50">
        <f>IF(S169=0,"",INDEX(Escaleta!$I$1:$I$504,S169))</f>
        <v/>
      </c>
    </row>
    <row r="170" ht="18" customHeight="1">
      <c r="A170" s="48">
        <f>IF(A169="","",IF(A169+Configuración!$C$7/1440&gt;Configuración!$C$6-0.0001,"",A169+Configuración!$C$7/1440))</f>
        <v/>
      </c>
      <c r="B170" s="49">
        <f>IF(L170=0,"",IF(L170&lt;&gt;L169,INDEX(Escaleta!$F$1:$F$504,L170),IF(L170&lt;&gt;L168,TEXT(INDEX(Escaleta!$C$1:$C$504,L170),"hh:mm")&amp;"–"&amp;TEXT(INDEX(Escaleta!$E$1:$E$504,L170),"hh:mm"),"")))</f>
        <v/>
      </c>
      <c r="C170" s="49">
        <f>IF(M170=0,"",IF(M170&lt;&gt;M169,INDEX(Escaleta!$F$1:$F$504,M170),IF(M170&lt;&gt;M168,TEXT(INDEX(Escaleta!$C$1:$C$504,M170),"hh:mm")&amp;"–"&amp;TEXT(INDEX(Escaleta!$E$1:$E$504,M170),"hh:mm"),"")))</f>
        <v/>
      </c>
      <c r="D170" s="49">
        <f>IF(N170=0,"",IF(N170&lt;&gt;N169,INDEX(Escaleta!$F$1:$F$504,N170),IF(N170&lt;&gt;N168,TEXT(INDEX(Escaleta!$C$1:$C$504,N170),"hh:mm")&amp;"–"&amp;TEXT(INDEX(Escaleta!$E$1:$E$504,N170),"hh:mm"),"")))</f>
        <v/>
      </c>
      <c r="E170" s="49">
        <f>IF(O170=0,"",IF(O170&lt;&gt;O169,INDEX(Escaleta!$F$1:$F$504,O170),IF(O170&lt;&gt;O168,TEXT(INDEX(Escaleta!$C$1:$C$504,O170),"hh:mm")&amp;"–"&amp;TEXT(INDEX(Escaleta!$E$1:$E$504,O170),"hh:mm"),"")))</f>
        <v/>
      </c>
      <c r="F170" s="49">
        <f>IF(P170=0,"",IF(P170&lt;&gt;P169,INDEX(Escaleta!$F$1:$F$504,P170),IF(P170&lt;&gt;P168,TEXT(INDEX(Escaleta!$C$1:$C$504,P170),"hh:mm")&amp;"–"&amp;TEXT(INDEX(Escaleta!$E$1:$E$504,P170),"hh:mm"),"")))</f>
        <v/>
      </c>
      <c r="G170" s="49">
        <f>IF(Q170=0,"",IF(Q170&lt;&gt;Q169,INDEX(Escaleta!$F$1:$F$504,Q170),IF(Q170&lt;&gt;Q168,TEXT(INDEX(Escaleta!$C$1:$C$504,Q170),"hh:mm")&amp;"–"&amp;TEXT(INDEX(Escaleta!$E$1:$E$504,Q170),"hh:mm"),"")))</f>
        <v/>
      </c>
      <c r="H170" s="49">
        <f>IF(R170=0,"",IF(R170&lt;&gt;R169,INDEX(Escaleta!$F$1:$F$504,R170),IF(R170&lt;&gt;R168,TEXT(INDEX(Escaleta!$C$1:$C$504,R170),"hh:mm")&amp;"–"&amp;TEXT(INDEX(Escaleta!$E$1:$E$504,R170),"hh:mm"),"")))</f>
        <v/>
      </c>
      <c r="I170" s="49">
        <f>IF(S170=0,"",IF(S170&lt;&gt;S169,INDEX(Escaleta!$F$1:$F$504,S170),IF(S170&lt;&gt;S168,TEXT(INDEX(Escaleta!$C$1:$C$504,S170),"hh:mm")&amp;"–"&amp;TEXT(INDEX(Escaleta!$E$1:$E$504,S170),"hh:mm"),"")))</f>
        <v/>
      </c>
      <c r="L170" s="50">
        <f>IF(OR($A170="",B$6=""),0,SUMPRODUCT(MAX((Escaleta!$A$5:$A$504=$B$4)*(Escaleta!$H$5:$H$504=B$6)*(Escaleta!$K$5:$K$504&lt;&gt;"Cancelada")*(Escaleta!$C$5:$C$504&lt;$A170+Configuración!$C$7/1440)*(Escaleta!$E$5:$E$504&gt;$A170)*ROW(Escaleta!$A$5:$A$504))))</f>
        <v/>
      </c>
      <c r="M170" s="50">
        <f>IF(OR($A170="",C$6=""),0,SUMPRODUCT(MAX((Escaleta!$A$5:$A$504=$B$4)*(Escaleta!$H$5:$H$504=C$6)*(Escaleta!$K$5:$K$504&lt;&gt;"Cancelada")*(Escaleta!$C$5:$C$504&lt;$A170+Configuración!$C$7/1440)*(Escaleta!$E$5:$E$504&gt;$A170)*ROW(Escaleta!$A$5:$A$504))))</f>
        <v/>
      </c>
      <c r="N170" s="50">
        <f>IF(OR($A170="",D$6=""),0,SUMPRODUCT(MAX((Escaleta!$A$5:$A$504=$B$4)*(Escaleta!$H$5:$H$504=D$6)*(Escaleta!$K$5:$K$504&lt;&gt;"Cancelada")*(Escaleta!$C$5:$C$504&lt;$A170+Configuración!$C$7/1440)*(Escaleta!$E$5:$E$504&gt;$A170)*ROW(Escaleta!$A$5:$A$504))))</f>
        <v/>
      </c>
      <c r="O170" s="50">
        <f>IF(OR($A170="",E$6=""),0,SUMPRODUCT(MAX((Escaleta!$A$5:$A$504=$B$4)*(Escaleta!$H$5:$H$504=E$6)*(Escaleta!$K$5:$K$504&lt;&gt;"Cancelada")*(Escaleta!$C$5:$C$504&lt;$A170+Configuración!$C$7/1440)*(Escaleta!$E$5:$E$504&gt;$A170)*ROW(Escaleta!$A$5:$A$504))))</f>
        <v/>
      </c>
      <c r="P170" s="50">
        <f>IF(OR($A170="",F$6=""),0,SUMPRODUCT(MAX((Escaleta!$A$5:$A$504=$B$4)*(Escaleta!$H$5:$H$504=F$6)*(Escaleta!$K$5:$K$504&lt;&gt;"Cancelada")*(Escaleta!$C$5:$C$504&lt;$A170+Configuración!$C$7/1440)*(Escaleta!$E$5:$E$504&gt;$A170)*ROW(Escaleta!$A$5:$A$504))))</f>
        <v/>
      </c>
      <c r="Q170" s="50">
        <f>IF(OR($A170="",G$6=""),0,SUMPRODUCT(MAX((Escaleta!$A$5:$A$504=$B$4)*(Escaleta!$H$5:$H$504=G$6)*(Escaleta!$K$5:$K$504&lt;&gt;"Cancelada")*(Escaleta!$C$5:$C$504&lt;$A170+Configuración!$C$7/1440)*(Escaleta!$E$5:$E$504&gt;$A170)*ROW(Escaleta!$A$5:$A$504))))</f>
        <v/>
      </c>
      <c r="R170" s="50">
        <f>IF(OR($A170="",H$6=""),0,SUMPRODUCT(MAX((Escaleta!$A$5:$A$504=$B$4)*(Escaleta!$H$5:$H$504=H$6)*(Escaleta!$K$5:$K$504&lt;&gt;"Cancelada")*(Escaleta!$C$5:$C$504&lt;$A170+Configuración!$C$7/1440)*(Escaleta!$E$5:$E$504&gt;$A170)*ROW(Escaleta!$A$5:$A$504))))</f>
        <v/>
      </c>
      <c r="S170" s="50">
        <f>IF(OR($A170="",I$6=""),0,SUMPRODUCT(MAX((Escaleta!$A$5:$A$504=$B$4)*(Escaleta!$H$5:$H$504=I$6)*(Escaleta!$K$5:$K$504&lt;&gt;"Cancelada")*(Escaleta!$C$5:$C$504&lt;$A170+Configuración!$C$7/1440)*(Escaleta!$E$5:$E$504&gt;$A170)*ROW(Escaleta!$A$5:$A$504))))</f>
        <v/>
      </c>
      <c r="U170" s="50">
        <f>IF(L170=0,"",INDEX(Escaleta!$I$1:$I$504,L170))</f>
        <v/>
      </c>
      <c r="V170" s="50">
        <f>IF(M170=0,"",INDEX(Escaleta!$I$1:$I$504,M170))</f>
        <v/>
      </c>
      <c r="W170" s="50">
        <f>IF(N170=0,"",INDEX(Escaleta!$I$1:$I$504,N170))</f>
        <v/>
      </c>
      <c r="X170" s="50">
        <f>IF(O170=0,"",INDEX(Escaleta!$I$1:$I$504,O170))</f>
        <v/>
      </c>
      <c r="Y170" s="50">
        <f>IF(P170=0,"",INDEX(Escaleta!$I$1:$I$504,P170))</f>
        <v/>
      </c>
      <c r="Z170" s="50">
        <f>IF(Q170=0,"",INDEX(Escaleta!$I$1:$I$504,Q170))</f>
        <v/>
      </c>
      <c r="AA170" s="50">
        <f>IF(R170=0,"",INDEX(Escaleta!$I$1:$I$504,R170))</f>
        <v/>
      </c>
      <c r="AB170" s="50">
        <f>IF(S170=0,"",INDEX(Escaleta!$I$1:$I$504,S170))</f>
        <v/>
      </c>
    </row>
    <row r="171" ht="18" customHeight="1">
      <c r="A171" s="48">
        <f>IF(A170="","",IF(A170+Configuración!$C$7/1440&gt;Configuración!$C$6-0.0001,"",A170+Configuración!$C$7/1440))</f>
        <v/>
      </c>
      <c r="B171" s="49">
        <f>IF(L171=0,"",IF(L171&lt;&gt;L170,INDEX(Escaleta!$F$1:$F$504,L171),IF(L171&lt;&gt;L169,TEXT(INDEX(Escaleta!$C$1:$C$504,L171),"hh:mm")&amp;"–"&amp;TEXT(INDEX(Escaleta!$E$1:$E$504,L171),"hh:mm"),"")))</f>
        <v/>
      </c>
      <c r="C171" s="49">
        <f>IF(M171=0,"",IF(M171&lt;&gt;M170,INDEX(Escaleta!$F$1:$F$504,M171),IF(M171&lt;&gt;M169,TEXT(INDEX(Escaleta!$C$1:$C$504,M171),"hh:mm")&amp;"–"&amp;TEXT(INDEX(Escaleta!$E$1:$E$504,M171),"hh:mm"),"")))</f>
        <v/>
      </c>
      <c r="D171" s="49">
        <f>IF(N171=0,"",IF(N171&lt;&gt;N170,INDEX(Escaleta!$F$1:$F$504,N171),IF(N171&lt;&gt;N169,TEXT(INDEX(Escaleta!$C$1:$C$504,N171),"hh:mm")&amp;"–"&amp;TEXT(INDEX(Escaleta!$E$1:$E$504,N171),"hh:mm"),"")))</f>
        <v/>
      </c>
      <c r="E171" s="49">
        <f>IF(O171=0,"",IF(O171&lt;&gt;O170,INDEX(Escaleta!$F$1:$F$504,O171),IF(O171&lt;&gt;O169,TEXT(INDEX(Escaleta!$C$1:$C$504,O171),"hh:mm")&amp;"–"&amp;TEXT(INDEX(Escaleta!$E$1:$E$504,O171),"hh:mm"),"")))</f>
        <v/>
      </c>
      <c r="F171" s="49">
        <f>IF(P171=0,"",IF(P171&lt;&gt;P170,INDEX(Escaleta!$F$1:$F$504,P171),IF(P171&lt;&gt;P169,TEXT(INDEX(Escaleta!$C$1:$C$504,P171),"hh:mm")&amp;"–"&amp;TEXT(INDEX(Escaleta!$E$1:$E$504,P171),"hh:mm"),"")))</f>
        <v/>
      </c>
      <c r="G171" s="49">
        <f>IF(Q171=0,"",IF(Q171&lt;&gt;Q170,INDEX(Escaleta!$F$1:$F$504,Q171),IF(Q171&lt;&gt;Q169,TEXT(INDEX(Escaleta!$C$1:$C$504,Q171),"hh:mm")&amp;"–"&amp;TEXT(INDEX(Escaleta!$E$1:$E$504,Q171),"hh:mm"),"")))</f>
        <v/>
      </c>
      <c r="H171" s="49">
        <f>IF(R171=0,"",IF(R171&lt;&gt;R170,INDEX(Escaleta!$F$1:$F$504,R171),IF(R171&lt;&gt;R169,TEXT(INDEX(Escaleta!$C$1:$C$504,R171),"hh:mm")&amp;"–"&amp;TEXT(INDEX(Escaleta!$E$1:$E$504,R171),"hh:mm"),"")))</f>
        <v/>
      </c>
      <c r="I171" s="49">
        <f>IF(S171=0,"",IF(S171&lt;&gt;S170,INDEX(Escaleta!$F$1:$F$504,S171),IF(S171&lt;&gt;S169,TEXT(INDEX(Escaleta!$C$1:$C$504,S171),"hh:mm")&amp;"–"&amp;TEXT(INDEX(Escaleta!$E$1:$E$504,S171),"hh:mm"),"")))</f>
        <v/>
      </c>
      <c r="L171" s="50">
        <f>IF(OR($A171="",B$6=""),0,SUMPRODUCT(MAX((Escaleta!$A$5:$A$504=$B$4)*(Escaleta!$H$5:$H$504=B$6)*(Escaleta!$K$5:$K$504&lt;&gt;"Cancelada")*(Escaleta!$C$5:$C$504&lt;$A171+Configuración!$C$7/1440)*(Escaleta!$E$5:$E$504&gt;$A171)*ROW(Escaleta!$A$5:$A$504))))</f>
        <v/>
      </c>
      <c r="M171" s="50">
        <f>IF(OR($A171="",C$6=""),0,SUMPRODUCT(MAX((Escaleta!$A$5:$A$504=$B$4)*(Escaleta!$H$5:$H$504=C$6)*(Escaleta!$K$5:$K$504&lt;&gt;"Cancelada")*(Escaleta!$C$5:$C$504&lt;$A171+Configuración!$C$7/1440)*(Escaleta!$E$5:$E$504&gt;$A171)*ROW(Escaleta!$A$5:$A$504))))</f>
        <v/>
      </c>
      <c r="N171" s="50">
        <f>IF(OR($A171="",D$6=""),0,SUMPRODUCT(MAX((Escaleta!$A$5:$A$504=$B$4)*(Escaleta!$H$5:$H$504=D$6)*(Escaleta!$K$5:$K$504&lt;&gt;"Cancelada")*(Escaleta!$C$5:$C$504&lt;$A171+Configuración!$C$7/1440)*(Escaleta!$E$5:$E$504&gt;$A171)*ROW(Escaleta!$A$5:$A$504))))</f>
        <v/>
      </c>
      <c r="O171" s="50">
        <f>IF(OR($A171="",E$6=""),0,SUMPRODUCT(MAX((Escaleta!$A$5:$A$504=$B$4)*(Escaleta!$H$5:$H$504=E$6)*(Escaleta!$K$5:$K$504&lt;&gt;"Cancelada")*(Escaleta!$C$5:$C$504&lt;$A171+Configuración!$C$7/1440)*(Escaleta!$E$5:$E$504&gt;$A171)*ROW(Escaleta!$A$5:$A$504))))</f>
        <v/>
      </c>
      <c r="P171" s="50">
        <f>IF(OR($A171="",F$6=""),0,SUMPRODUCT(MAX((Escaleta!$A$5:$A$504=$B$4)*(Escaleta!$H$5:$H$504=F$6)*(Escaleta!$K$5:$K$504&lt;&gt;"Cancelada")*(Escaleta!$C$5:$C$504&lt;$A171+Configuración!$C$7/1440)*(Escaleta!$E$5:$E$504&gt;$A171)*ROW(Escaleta!$A$5:$A$504))))</f>
        <v/>
      </c>
      <c r="Q171" s="50">
        <f>IF(OR($A171="",G$6=""),0,SUMPRODUCT(MAX((Escaleta!$A$5:$A$504=$B$4)*(Escaleta!$H$5:$H$504=G$6)*(Escaleta!$K$5:$K$504&lt;&gt;"Cancelada")*(Escaleta!$C$5:$C$504&lt;$A171+Configuración!$C$7/1440)*(Escaleta!$E$5:$E$504&gt;$A171)*ROW(Escaleta!$A$5:$A$504))))</f>
        <v/>
      </c>
      <c r="R171" s="50">
        <f>IF(OR($A171="",H$6=""),0,SUMPRODUCT(MAX((Escaleta!$A$5:$A$504=$B$4)*(Escaleta!$H$5:$H$504=H$6)*(Escaleta!$K$5:$K$504&lt;&gt;"Cancelada")*(Escaleta!$C$5:$C$504&lt;$A171+Configuración!$C$7/1440)*(Escaleta!$E$5:$E$504&gt;$A171)*ROW(Escaleta!$A$5:$A$504))))</f>
        <v/>
      </c>
      <c r="S171" s="50">
        <f>IF(OR($A171="",I$6=""),0,SUMPRODUCT(MAX((Escaleta!$A$5:$A$504=$B$4)*(Escaleta!$H$5:$H$504=I$6)*(Escaleta!$K$5:$K$504&lt;&gt;"Cancelada")*(Escaleta!$C$5:$C$504&lt;$A171+Configuración!$C$7/1440)*(Escaleta!$E$5:$E$504&gt;$A171)*ROW(Escaleta!$A$5:$A$504))))</f>
        <v/>
      </c>
      <c r="U171" s="50">
        <f>IF(L171=0,"",INDEX(Escaleta!$I$1:$I$504,L171))</f>
        <v/>
      </c>
      <c r="V171" s="50">
        <f>IF(M171=0,"",INDEX(Escaleta!$I$1:$I$504,M171))</f>
        <v/>
      </c>
      <c r="W171" s="50">
        <f>IF(N171=0,"",INDEX(Escaleta!$I$1:$I$504,N171))</f>
        <v/>
      </c>
      <c r="X171" s="50">
        <f>IF(O171=0,"",INDEX(Escaleta!$I$1:$I$504,O171))</f>
        <v/>
      </c>
      <c r="Y171" s="50">
        <f>IF(P171=0,"",INDEX(Escaleta!$I$1:$I$504,P171))</f>
        <v/>
      </c>
      <c r="Z171" s="50">
        <f>IF(Q171=0,"",INDEX(Escaleta!$I$1:$I$504,Q171))</f>
        <v/>
      </c>
      <c r="AA171" s="50">
        <f>IF(R171=0,"",INDEX(Escaleta!$I$1:$I$504,R171))</f>
        <v/>
      </c>
      <c r="AB171" s="50">
        <f>IF(S171=0,"",INDEX(Escaleta!$I$1:$I$504,S171))</f>
        <v/>
      </c>
    </row>
    <row r="172" ht="18" customHeight="1">
      <c r="A172" s="48">
        <f>IF(A171="","",IF(A171+Configuración!$C$7/1440&gt;Configuración!$C$6-0.0001,"",A171+Configuración!$C$7/1440))</f>
        <v/>
      </c>
      <c r="B172" s="49">
        <f>IF(L172=0,"",IF(L172&lt;&gt;L171,INDEX(Escaleta!$F$1:$F$504,L172),IF(L172&lt;&gt;L170,TEXT(INDEX(Escaleta!$C$1:$C$504,L172),"hh:mm")&amp;"–"&amp;TEXT(INDEX(Escaleta!$E$1:$E$504,L172),"hh:mm"),"")))</f>
        <v/>
      </c>
      <c r="C172" s="49">
        <f>IF(M172=0,"",IF(M172&lt;&gt;M171,INDEX(Escaleta!$F$1:$F$504,M172),IF(M172&lt;&gt;M170,TEXT(INDEX(Escaleta!$C$1:$C$504,M172),"hh:mm")&amp;"–"&amp;TEXT(INDEX(Escaleta!$E$1:$E$504,M172),"hh:mm"),"")))</f>
        <v/>
      </c>
      <c r="D172" s="49">
        <f>IF(N172=0,"",IF(N172&lt;&gt;N171,INDEX(Escaleta!$F$1:$F$504,N172),IF(N172&lt;&gt;N170,TEXT(INDEX(Escaleta!$C$1:$C$504,N172),"hh:mm")&amp;"–"&amp;TEXT(INDEX(Escaleta!$E$1:$E$504,N172),"hh:mm"),"")))</f>
        <v/>
      </c>
      <c r="E172" s="49">
        <f>IF(O172=0,"",IF(O172&lt;&gt;O171,INDEX(Escaleta!$F$1:$F$504,O172),IF(O172&lt;&gt;O170,TEXT(INDEX(Escaleta!$C$1:$C$504,O172),"hh:mm")&amp;"–"&amp;TEXT(INDEX(Escaleta!$E$1:$E$504,O172),"hh:mm"),"")))</f>
        <v/>
      </c>
      <c r="F172" s="49">
        <f>IF(P172=0,"",IF(P172&lt;&gt;P171,INDEX(Escaleta!$F$1:$F$504,P172),IF(P172&lt;&gt;P170,TEXT(INDEX(Escaleta!$C$1:$C$504,P172),"hh:mm")&amp;"–"&amp;TEXT(INDEX(Escaleta!$E$1:$E$504,P172),"hh:mm"),"")))</f>
        <v/>
      </c>
      <c r="G172" s="49">
        <f>IF(Q172=0,"",IF(Q172&lt;&gt;Q171,INDEX(Escaleta!$F$1:$F$504,Q172),IF(Q172&lt;&gt;Q170,TEXT(INDEX(Escaleta!$C$1:$C$504,Q172),"hh:mm")&amp;"–"&amp;TEXT(INDEX(Escaleta!$E$1:$E$504,Q172),"hh:mm"),"")))</f>
        <v/>
      </c>
      <c r="H172" s="49">
        <f>IF(R172=0,"",IF(R172&lt;&gt;R171,INDEX(Escaleta!$F$1:$F$504,R172),IF(R172&lt;&gt;R170,TEXT(INDEX(Escaleta!$C$1:$C$504,R172),"hh:mm")&amp;"–"&amp;TEXT(INDEX(Escaleta!$E$1:$E$504,R172),"hh:mm"),"")))</f>
        <v/>
      </c>
      <c r="I172" s="49">
        <f>IF(S172=0,"",IF(S172&lt;&gt;S171,INDEX(Escaleta!$F$1:$F$504,S172),IF(S172&lt;&gt;S170,TEXT(INDEX(Escaleta!$C$1:$C$504,S172),"hh:mm")&amp;"–"&amp;TEXT(INDEX(Escaleta!$E$1:$E$504,S172),"hh:mm"),"")))</f>
        <v/>
      </c>
      <c r="L172" s="50">
        <f>IF(OR($A172="",B$6=""),0,SUMPRODUCT(MAX((Escaleta!$A$5:$A$504=$B$4)*(Escaleta!$H$5:$H$504=B$6)*(Escaleta!$K$5:$K$504&lt;&gt;"Cancelada")*(Escaleta!$C$5:$C$504&lt;$A172+Configuración!$C$7/1440)*(Escaleta!$E$5:$E$504&gt;$A172)*ROW(Escaleta!$A$5:$A$504))))</f>
        <v/>
      </c>
      <c r="M172" s="50">
        <f>IF(OR($A172="",C$6=""),0,SUMPRODUCT(MAX((Escaleta!$A$5:$A$504=$B$4)*(Escaleta!$H$5:$H$504=C$6)*(Escaleta!$K$5:$K$504&lt;&gt;"Cancelada")*(Escaleta!$C$5:$C$504&lt;$A172+Configuración!$C$7/1440)*(Escaleta!$E$5:$E$504&gt;$A172)*ROW(Escaleta!$A$5:$A$504))))</f>
        <v/>
      </c>
      <c r="N172" s="50">
        <f>IF(OR($A172="",D$6=""),0,SUMPRODUCT(MAX((Escaleta!$A$5:$A$504=$B$4)*(Escaleta!$H$5:$H$504=D$6)*(Escaleta!$K$5:$K$504&lt;&gt;"Cancelada")*(Escaleta!$C$5:$C$504&lt;$A172+Configuración!$C$7/1440)*(Escaleta!$E$5:$E$504&gt;$A172)*ROW(Escaleta!$A$5:$A$504))))</f>
        <v/>
      </c>
      <c r="O172" s="50">
        <f>IF(OR($A172="",E$6=""),0,SUMPRODUCT(MAX((Escaleta!$A$5:$A$504=$B$4)*(Escaleta!$H$5:$H$504=E$6)*(Escaleta!$K$5:$K$504&lt;&gt;"Cancelada")*(Escaleta!$C$5:$C$504&lt;$A172+Configuración!$C$7/1440)*(Escaleta!$E$5:$E$504&gt;$A172)*ROW(Escaleta!$A$5:$A$504))))</f>
        <v/>
      </c>
      <c r="P172" s="50">
        <f>IF(OR($A172="",F$6=""),0,SUMPRODUCT(MAX((Escaleta!$A$5:$A$504=$B$4)*(Escaleta!$H$5:$H$504=F$6)*(Escaleta!$K$5:$K$504&lt;&gt;"Cancelada")*(Escaleta!$C$5:$C$504&lt;$A172+Configuración!$C$7/1440)*(Escaleta!$E$5:$E$504&gt;$A172)*ROW(Escaleta!$A$5:$A$504))))</f>
        <v/>
      </c>
      <c r="Q172" s="50">
        <f>IF(OR($A172="",G$6=""),0,SUMPRODUCT(MAX((Escaleta!$A$5:$A$504=$B$4)*(Escaleta!$H$5:$H$504=G$6)*(Escaleta!$K$5:$K$504&lt;&gt;"Cancelada")*(Escaleta!$C$5:$C$504&lt;$A172+Configuración!$C$7/1440)*(Escaleta!$E$5:$E$504&gt;$A172)*ROW(Escaleta!$A$5:$A$504))))</f>
        <v/>
      </c>
      <c r="R172" s="50">
        <f>IF(OR($A172="",H$6=""),0,SUMPRODUCT(MAX((Escaleta!$A$5:$A$504=$B$4)*(Escaleta!$H$5:$H$504=H$6)*(Escaleta!$K$5:$K$504&lt;&gt;"Cancelada")*(Escaleta!$C$5:$C$504&lt;$A172+Configuración!$C$7/1440)*(Escaleta!$E$5:$E$504&gt;$A172)*ROW(Escaleta!$A$5:$A$504))))</f>
        <v/>
      </c>
      <c r="S172" s="50">
        <f>IF(OR($A172="",I$6=""),0,SUMPRODUCT(MAX((Escaleta!$A$5:$A$504=$B$4)*(Escaleta!$H$5:$H$504=I$6)*(Escaleta!$K$5:$K$504&lt;&gt;"Cancelada")*(Escaleta!$C$5:$C$504&lt;$A172+Configuración!$C$7/1440)*(Escaleta!$E$5:$E$504&gt;$A172)*ROW(Escaleta!$A$5:$A$504))))</f>
        <v/>
      </c>
      <c r="U172" s="50">
        <f>IF(L172=0,"",INDEX(Escaleta!$I$1:$I$504,L172))</f>
        <v/>
      </c>
      <c r="V172" s="50">
        <f>IF(M172=0,"",INDEX(Escaleta!$I$1:$I$504,M172))</f>
        <v/>
      </c>
      <c r="W172" s="50">
        <f>IF(N172=0,"",INDEX(Escaleta!$I$1:$I$504,N172))</f>
        <v/>
      </c>
      <c r="X172" s="50">
        <f>IF(O172=0,"",INDEX(Escaleta!$I$1:$I$504,O172))</f>
        <v/>
      </c>
      <c r="Y172" s="50">
        <f>IF(P172=0,"",INDEX(Escaleta!$I$1:$I$504,P172))</f>
        <v/>
      </c>
      <c r="Z172" s="50">
        <f>IF(Q172=0,"",INDEX(Escaleta!$I$1:$I$504,Q172))</f>
        <v/>
      </c>
      <c r="AA172" s="50">
        <f>IF(R172=0,"",INDEX(Escaleta!$I$1:$I$504,R172))</f>
        <v/>
      </c>
      <c r="AB172" s="50">
        <f>IF(S172=0,"",INDEX(Escaleta!$I$1:$I$504,S172))</f>
        <v/>
      </c>
    </row>
    <row r="173" ht="18" customHeight="1">
      <c r="A173" s="48">
        <f>IF(A172="","",IF(A172+Configuración!$C$7/1440&gt;Configuración!$C$6-0.0001,"",A172+Configuración!$C$7/1440))</f>
        <v/>
      </c>
      <c r="B173" s="49">
        <f>IF(L173=0,"",IF(L173&lt;&gt;L172,INDEX(Escaleta!$F$1:$F$504,L173),IF(L173&lt;&gt;L171,TEXT(INDEX(Escaleta!$C$1:$C$504,L173),"hh:mm")&amp;"–"&amp;TEXT(INDEX(Escaleta!$E$1:$E$504,L173),"hh:mm"),"")))</f>
        <v/>
      </c>
      <c r="C173" s="49">
        <f>IF(M173=0,"",IF(M173&lt;&gt;M172,INDEX(Escaleta!$F$1:$F$504,M173),IF(M173&lt;&gt;M171,TEXT(INDEX(Escaleta!$C$1:$C$504,M173),"hh:mm")&amp;"–"&amp;TEXT(INDEX(Escaleta!$E$1:$E$504,M173),"hh:mm"),"")))</f>
        <v/>
      </c>
      <c r="D173" s="49">
        <f>IF(N173=0,"",IF(N173&lt;&gt;N172,INDEX(Escaleta!$F$1:$F$504,N173),IF(N173&lt;&gt;N171,TEXT(INDEX(Escaleta!$C$1:$C$504,N173),"hh:mm")&amp;"–"&amp;TEXT(INDEX(Escaleta!$E$1:$E$504,N173),"hh:mm"),"")))</f>
        <v/>
      </c>
      <c r="E173" s="49">
        <f>IF(O173=0,"",IF(O173&lt;&gt;O172,INDEX(Escaleta!$F$1:$F$504,O173),IF(O173&lt;&gt;O171,TEXT(INDEX(Escaleta!$C$1:$C$504,O173),"hh:mm")&amp;"–"&amp;TEXT(INDEX(Escaleta!$E$1:$E$504,O173),"hh:mm"),"")))</f>
        <v/>
      </c>
      <c r="F173" s="49">
        <f>IF(P173=0,"",IF(P173&lt;&gt;P172,INDEX(Escaleta!$F$1:$F$504,P173),IF(P173&lt;&gt;P171,TEXT(INDEX(Escaleta!$C$1:$C$504,P173),"hh:mm")&amp;"–"&amp;TEXT(INDEX(Escaleta!$E$1:$E$504,P173),"hh:mm"),"")))</f>
        <v/>
      </c>
      <c r="G173" s="49">
        <f>IF(Q173=0,"",IF(Q173&lt;&gt;Q172,INDEX(Escaleta!$F$1:$F$504,Q173),IF(Q173&lt;&gt;Q171,TEXT(INDEX(Escaleta!$C$1:$C$504,Q173),"hh:mm")&amp;"–"&amp;TEXT(INDEX(Escaleta!$E$1:$E$504,Q173),"hh:mm"),"")))</f>
        <v/>
      </c>
      <c r="H173" s="49">
        <f>IF(R173=0,"",IF(R173&lt;&gt;R172,INDEX(Escaleta!$F$1:$F$504,R173),IF(R173&lt;&gt;R171,TEXT(INDEX(Escaleta!$C$1:$C$504,R173),"hh:mm")&amp;"–"&amp;TEXT(INDEX(Escaleta!$E$1:$E$504,R173),"hh:mm"),"")))</f>
        <v/>
      </c>
      <c r="I173" s="49">
        <f>IF(S173=0,"",IF(S173&lt;&gt;S172,INDEX(Escaleta!$F$1:$F$504,S173),IF(S173&lt;&gt;S171,TEXT(INDEX(Escaleta!$C$1:$C$504,S173),"hh:mm")&amp;"–"&amp;TEXT(INDEX(Escaleta!$E$1:$E$504,S173),"hh:mm"),"")))</f>
        <v/>
      </c>
      <c r="L173" s="50">
        <f>IF(OR($A173="",B$6=""),0,SUMPRODUCT(MAX((Escaleta!$A$5:$A$504=$B$4)*(Escaleta!$H$5:$H$504=B$6)*(Escaleta!$K$5:$K$504&lt;&gt;"Cancelada")*(Escaleta!$C$5:$C$504&lt;$A173+Configuración!$C$7/1440)*(Escaleta!$E$5:$E$504&gt;$A173)*ROW(Escaleta!$A$5:$A$504))))</f>
        <v/>
      </c>
      <c r="M173" s="50">
        <f>IF(OR($A173="",C$6=""),0,SUMPRODUCT(MAX((Escaleta!$A$5:$A$504=$B$4)*(Escaleta!$H$5:$H$504=C$6)*(Escaleta!$K$5:$K$504&lt;&gt;"Cancelada")*(Escaleta!$C$5:$C$504&lt;$A173+Configuración!$C$7/1440)*(Escaleta!$E$5:$E$504&gt;$A173)*ROW(Escaleta!$A$5:$A$504))))</f>
        <v/>
      </c>
      <c r="N173" s="50">
        <f>IF(OR($A173="",D$6=""),0,SUMPRODUCT(MAX((Escaleta!$A$5:$A$504=$B$4)*(Escaleta!$H$5:$H$504=D$6)*(Escaleta!$K$5:$K$504&lt;&gt;"Cancelada")*(Escaleta!$C$5:$C$504&lt;$A173+Configuración!$C$7/1440)*(Escaleta!$E$5:$E$504&gt;$A173)*ROW(Escaleta!$A$5:$A$504))))</f>
        <v/>
      </c>
      <c r="O173" s="50">
        <f>IF(OR($A173="",E$6=""),0,SUMPRODUCT(MAX((Escaleta!$A$5:$A$504=$B$4)*(Escaleta!$H$5:$H$504=E$6)*(Escaleta!$K$5:$K$504&lt;&gt;"Cancelada")*(Escaleta!$C$5:$C$504&lt;$A173+Configuración!$C$7/1440)*(Escaleta!$E$5:$E$504&gt;$A173)*ROW(Escaleta!$A$5:$A$504))))</f>
        <v/>
      </c>
      <c r="P173" s="50">
        <f>IF(OR($A173="",F$6=""),0,SUMPRODUCT(MAX((Escaleta!$A$5:$A$504=$B$4)*(Escaleta!$H$5:$H$504=F$6)*(Escaleta!$K$5:$K$504&lt;&gt;"Cancelada")*(Escaleta!$C$5:$C$504&lt;$A173+Configuración!$C$7/1440)*(Escaleta!$E$5:$E$504&gt;$A173)*ROW(Escaleta!$A$5:$A$504))))</f>
        <v/>
      </c>
      <c r="Q173" s="50">
        <f>IF(OR($A173="",G$6=""),0,SUMPRODUCT(MAX((Escaleta!$A$5:$A$504=$B$4)*(Escaleta!$H$5:$H$504=G$6)*(Escaleta!$K$5:$K$504&lt;&gt;"Cancelada")*(Escaleta!$C$5:$C$504&lt;$A173+Configuración!$C$7/1440)*(Escaleta!$E$5:$E$504&gt;$A173)*ROW(Escaleta!$A$5:$A$504))))</f>
        <v/>
      </c>
      <c r="R173" s="50">
        <f>IF(OR($A173="",H$6=""),0,SUMPRODUCT(MAX((Escaleta!$A$5:$A$504=$B$4)*(Escaleta!$H$5:$H$504=H$6)*(Escaleta!$K$5:$K$504&lt;&gt;"Cancelada")*(Escaleta!$C$5:$C$504&lt;$A173+Configuración!$C$7/1440)*(Escaleta!$E$5:$E$504&gt;$A173)*ROW(Escaleta!$A$5:$A$504))))</f>
        <v/>
      </c>
      <c r="S173" s="50">
        <f>IF(OR($A173="",I$6=""),0,SUMPRODUCT(MAX((Escaleta!$A$5:$A$504=$B$4)*(Escaleta!$H$5:$H$504=I$6)*(Escaleta!$K$5:$K$504&lt;&gt;"Cancelada")*(Escaleta!$C$5:$C$504&lt;$A173+Configuración!$C$7/1440)*(Escaleta!$E$5:$E$504&gt;$A173)*ROW(Escaleta!$A$5:$A$504))))</f>
        <v/>
      </c>
      <c r="U173" s="50">
        <f>IF(L173=0,"",INDEX(Escaleta!$I$1:$I$504,L173))</f>
        <v/>
      </c>
      <c r="V173" s="50">
        <f>IF(M173=0,"",INDEX(Escaleta!$I$1:$I$504,M173))</f>
        <v/>
      </c>
      <c r="W173" s="50">
        <f>IF(N173=0,"",INDEX(Escaleta!$I$1:$I$504,N173))</f>
        <v/>
      </c>
      <c r="X173" s="50">
        <f>IF(O173=0,"",INDEX(Escaleta!$I$1:$I$504,O173))</f>
        <v/>
      </c>
      <c r="Y173" s="50">
        <f>IF(P173=0,"",INDEX(Escaleta!$I$1:$I$504,P173))</f>
        <v/>
      </c>
      <c r="Z173" s="50">
        <f>IF(Q173=0,"",INDEX(Escaleta!$I$1:$I$504,Q173))</f>
        <v/>
      </c>
      <c r="AA173" s="50">
        <f>IF(R173=0,"",INDEX(Escaleta!$I$1:$I$504,R173))</f>
        <v/>
      </c>
      <c r="AB173" s="50">
        <f>IF(S173=0,"",INDEX(Escaleta!$I$1:$I$504,S173))</f>
        <v/>
      </c>
    </row>
    <row r="174" ht="18" customHeight="1">
      <c r="A174" s="48">
        <f>IF(A173="","",IF(A173+Configuración!$C$7/1440&gt;Configuración!$C$6-0.0001,"",A173+Configuración!$C$7/1440))</f>
        <v/>
      </c>
      <c r="B174" s="49">
        <f>IF(L174=0,"",IF(L174&lt;&gt;L173,INDEX(Escaleta!$F$1:$F$504,L174),IF(L174&lt;&gt;L172,TEXT(INDEX(Escaleta!$C$1:$C$504,L174),"hh:mm")&amp;"–"&amp;TEXT(INDEX(Escaleta!$E$1:$E$504,L174),"hh:mm"),"")))</f>
        <v/>
      </c>
      <c r="C174" s="49">
        <f>IF(M174=0,"",IF(M174&lt;&gt;M173,INDEX(Escaleta!$F$1:$F$504,M174),IF(M174&lt;&gt;M172,TEXT(INDEX(Escaleta!$C$1:$C$504,M174),"hh:mm")&amp;"–"&amp;TEXT(INDEX(Escaleta!$E$1:$E$504,M174),"hh:mm"),"")))</f>
        <v/>
      </c>
      <c r="D174" s="49">
        <f>IF(N174=0,"",IF(N174&lt;&gt;N173,INDEX(Escaleta!$F$1:$F$504,N174),IF(N174&lt;&gt;N172,TEXT(INDEX(Escaleta!$C$1:$C$504,N174),"hh:mm")&amp;"–"&amp;TEXT(INDEX(Escaleta!$E$1:$E$504,N174),"hh:mm"),"")))</f>
        <v/>
      </c>
      <c r="E174" s="49">
        <f>IF(O174=0,"",IF(O174&lt;&gt;O173,INDEX(Escaleta!$F$1:$F$504,O174),IF(O174&lt;&gt;O172,TEXT(INDEX(Escaleta!$C$1:$C$504,O174),"hh:mm")&amp;"–"&amp;TEXT(INDEX(Escaleta!$E$1:$E$504,O174),"hh:mm"),"")))</f>
        <v/>
      </c>
      <c r="F174" s="49">
        <f>IF(P174=0,"",IF(P174&lt;&gt;P173,INDEX(Escaleta!$F$1:$F$504,P174),IF(P174&lt;&gt;P172,TEXT(INDEX(Escaleta!$C$1:$C$504,P174),"hh:mm")&amp;"–"&amp;TEXT(INDEX(Escaleta!$E$1:$E$504,P174),"hh:mm"),"")))</f>
        <v/>
      </c>
      <c r="G174" s="49">
        <f>IF(Q174=0,"",IF(Q174&lt;&gt;Q173,INDEX(Escaleta!$F$1:$F$504,Q174),IF(Q174&lt;&gt;Q172,TEXT(INDEX(Escaleta!$C$1:$C$504,Q174),"hh:mm")&amp;"–"&amp;TEXT(INDEX(Escaleta!$E$1:$E$504,Q174),"hh:mm"),"")))</f>
        <v/>
      </c>
      <c r="H174" s="49">
        <f>IF(R174=0,"",IF(R174&lt;&gt;R173,INDEX(Escaleta!$F$1:$F$504,R174),IF(R174&lt;&gt;R172,TEXT(INDEX(Escaleta!$C$1:$C$504,R174),"hh:mm")&amp;"–"&amp;TEXT(INDEX(Escaleta!$E$1:$E$504,R174),"hh:mm"),"")))</f>
        <v/>
      </c>
      <c r="I174" s="49">
        <f>IF(S174=0,"",IF(S174&lt;&gt;S173,INDEX(Escaleta!$F$1:$F$504,S174),IF(S174&lt;&gt;S172,TEXT(INDEX(Escaleta!$C$1:$C$504,S174),"hh:mm")&amp;"–"&amp;TEXT(INDEX(Escaleta!$E$1:$E$504,S174),"hh:mm"),"")))</f>
        <v/>
      </c>
      <c r="L174" s="50">
        <f>IF(OR($A174="",B$6=""),0,SUMPRODUCT(MAX((Escaleta!$A$5:$A$504=$B$4)*(Escaleta!$H$5:$H$504=B$6)*(Escaleta!$K$5:$K$504&lt;&gt;"Cancelada")*(Escaleta!$C$5:$C$504&lt;$A174+Configuración!$C$7/1440)*(Escaleta!$E$5:$E$504&gt;$A174)*ROW(Escaleta!$A$5:$A$504))))</f>
        <v/>
      </c>
      <c r="M174" s="50">
        <f>IF(OR($A174="",C$6=""),0,SUMPRODUCT(MAX((Escaleta!$A$5:$A$504=$B$4)*(Escaleta!$H$5:$H$504=C$6)*(Escaleta!$K$5:$K$504&lt;&gt;"Cancelada")*(Escaleta!$C$5:$C$504&lt;$A174+Configuración!$C$7/1440)*(Escaleta!$E$5:$E$504&gt;$A174)*ROW(Escaleta!$A$5:$A$504))))</f>
        <v/>
      </c>
      <c r="N174" s="50">
        <f>IF(OR($A174="",D$6=""),0,SUMPRODUCT(MAX((Escaleta!$A$5:$A$504=$B$4)*(Escaleta!$H$5:$H$504=D$6)*(Escaleta!$K$5:$K$504&lt;&gt;"Cancelada")*(Escaleta!$C$5:$C$504&lt;$A174+Configuración!$C$7/1440)*(Escaleta!$E$5:$E$504&gt;$A174)*ROW(Escaleta!$A$5:$A$504))))</f>
        <v/>
      </c>
      <c r="O174" s="50">
        <f>IF(OR($A174="",E$6=""),0,SUMPRODUCT(MAX((Escaleta!$A$5:$A$504=$B$4)*(Escaleta!$H$5:$H$504=E$6)*(Escaleta!$K$5:$K$504&lt;&gt;"Cancelada")*(Escaleta!$C$5:$C$504&lt;$A174+Configuración!$C$7/1440)*(Escaleta!$E$5:$E$504&gt;$A174)*ROW(Escaleta!$A$5:$A$504))))</f>
        <v/>
      </c>
      <c r="P174" s="50">
        <f>IF(OR($A174="",F$6=""),0,SUMPRODUCT(MAX((Escaleta!$A$5:$A$504=$B$4)*(Escaleta!$H$5:$H$504=F$6)*(Escaleta!$K$5:$K$504&lt;&gt;"Cancelada")*(Escaleta!$C$5:$C$504&lt;$A174+Configuración!$C$7/1440)*(Escaleta!$E$5:$E$504&gt;$A174)*ROW(Escaleta!$A$5:$A$504))))</f>
        <v/>
      </c>
      <c r="Q174" s="50">
        <f>IF(OR($A174="",G$6=""),0,SUMPRODUCT(MAX((Escaleta!$A$5:$A$504=$B$4)*(Escaleta!$H$5:$H$504=G$6)*(Escaleta!$K$5:$K$504&lt;&gt;"Cancelada")*(Escaleta!$C$5:$C$504&lt;$A174+Configuración!$C$7/1440)*(Escaleta!$E$5:$E$504&gt;$A174)*ROW(Escaleta!$A$5:$A$504))))</f>
        <v/>
      </c>
      <c r="R174" s="50">
        <f>IF(OR($A174="",H$6=""),0,SUMPRODUCT(MAX((Escaleta!$A$5:$A$504=$B$4)*(Escaleta!$H$5:$H$504=H$6)*(Escaleta!$K$5:$K$504&lt;&gt;"Cancelada")*(Escaleta!$C$5:$C$504&lt;$A174+Configuración!$C$7/1440)*(Escaleta!$E$5:$E$504&gt;$A174)*ROW(Escaleta!$A$5:$A$504))))</f>
        <v/>
      </c>
      <c r="S174" s="50">
        <f>IF(OR($A174="",I$6=""),0,SUMPRODUCT(MAX((Escaleta!$A$5:$A$504=$B$4)*(Escaleta!$H$5:$H$504=I$6)*(Escaleta!$K$5:$K$504&lt;&gt;"Cancelada")*(Escaleta!$C$5:$C$504&lt;$A174+Configuración!$C$7/1440)*(Escaleta!$E$5:$E$504&gt;$A174)*ROW(Escaleta!$A$5:$A$504))))</f>
        <v/>
      </c>
      <c r="U174" s="50">
        <f>IF(L174=0,"",INDEX(Escaleta!$I$1:$I$504,L174))</f>
        <v/>
      </c>
      <c r="V174" s="50">
        <f>IF(M174=0,"",INDEX(Escaleta!$I$1:$I$504,M174))</f>
        <v/>
      </c>
      <c r="W174" s="50">
        <f>IF(N174=0,"",INDEX(Escaleta!$I$1:$I$504,N174))</f>
        <v/>
      </c>
      <c r="X174" s="50">
        <f>IF(O174=0,"",INDEX(Escaleta!$I$1:$I$504,O174))</f>
        <v/>
      </c>
      <c r="Y174" s="50">
        <f>IF(P174=0,"",INDEX(Escaleta!$I$1:$I$504,P174))</f>
        <v/>
      </c>
      <c r="Z174" s="50">
        <f>IF(Q174=0,"",INDEX(Escaleta!$I$1:$I$504,Q174))</f>
        <v/>
      </c>
      <c r="AA174" s="50">
        <f>IF(R174=0,"",INDEX(Escaleta!$I$1:$I$504,R174))</f>
        <v/>
      </c>
      <c r="AB174" s="50">
        <f>IF(S174=0,"",INDEX(Escaleta!$I$1:$I$504,S174))</f>
        <v/>
      </c>
    </row>
    <row r="175" ht="18" customHeight="1">
      <c r="A175" s="48">
        <f>IF(A174="","",IF(A174+Configuración!$C$7/1440&gt;Configuración!$C$6-0.0001,"",A174+Configuración!$C$7/1440))</f>
        <v/>
      </c>
      <c r="B175" s="49">
        <f>IF(L175=0,"",IF(L175&lt;&gt;L174,INDEX(Escaleta!$F$1:$F$504,L175),IF(L175&lt;&gt;L173,TEXT(INDEX(Escaleta!$C$1:$C$504,L175),"hh:mm")&amp;"–"&amp;TEXT(INDEX(Escaleta!$E$1:$E$504,L175),"hh:mm"),"")))</f>
        <v/>
      </c>
      <c r="C175" s="49">
        <f>IF(M175=0,"",IF(M175&lt;&gt;M174,INDEX(Escaleta!$F$1:$F$504,M175),IF(M175&lt;&gt;M173,TEXT(INDEX(Escaleta!$C$1:$C$504,M175),"hh:mm")&amp;"–"&amp;TEXT(INDEX(Escaleta!$E$1:$E$504,M175),"hh:mm"),"")))</f>
        <v/>
      </c>
      <c r="D175" s="49">
        <f>IF(N175=0,"",IF(N175&lt;&gt;N174,INDEX(Escaleta!$F$1:$F$504,N175),IF(N175&lt;&gt;N173,TEXT(INDEX(Escaleta!$C$1:$C$504,N175),"hh:mm")&amp;"–"&amp;TEXT(INDEX(Escaleta!$E$1:$E$504,N175),"hh:mm"),"")))</f>
        <v/>
      </c>
      <c r="E175" s="49">
        <f>IF(O175=0,"",IF(O175&lt;&gt;O174,INDEX(Escaleta!$F$1:$F$504,O175),IF(O175&lt;&gt;O173,TEXT(INDEX(Escaleta!$C$1:$C$504,O175),"hh:mm")&amp;"–"&amp;TEXT(INDEX(Escaleta!$E$1:$E$504,O175),"hh:mm"),"")))</f>
        <v/>
      </c>
      <c r="F175" s="49">
        <f>IF(P175=0,"",IF(P175&lt;&gt;P174,INDEX(Escaleta!$F$1:$F$504,P175),IF(P175&lt;&gt;P173,TEXT(INDEX(Escaleta!$C$1:$C$504,P175),"hh:mm")&amp;"–"&amp;TEXT(INDEX(Escaleta!$E$1:$E$504,P175),"hh:mm"),"")))</f>
        <v/>
      </c>
      <c r="G175" s="49">
        <f>IF(Q175=0,"",IF(Q175&lt;&gt;Q174,INDEX(Escaleta!$F$1:$F$504,Q175),IF(Q175&lt;&gt;Q173,TEXT(INDEX(Escaleta!$C$1:$C$504,Q175),"hh:mm")&amp;"–"&amp;TEXT(INDEX(Escaleta!$E$1:$E$504,Q175),"hh:mm"),"")))</f>
        <v/>
      </c>
      <c r="H175" s="49">
        <f>IF(R175=0,"",IF(R175&lt;&gt;R174,INDEX(Escaleta!$F$1:$F$504,R175),IF(R175&lt;&gt;R173,TEXT(INDEX(Escaleta!$C$1:$C$504,R175),"hh:mm")&amp;"–"&amp;TEXT(INDEX(Escaleta!$E$1:$E$504,R175),"hh:mm"),"")))</f>
        <v/>
      </c>
      <c r="I175" s="49">
        <f>IF(S175=0,"",IF(S175&lt;&gt;S174,INDEX(Escaleta!$F$1:$F$504,S175),IF(S175&lt;&gt;S173,TEXT(INDEX(Escaleta!$C$1:$C$504,S175),"hh:mm")&amp;"–"&amp;TEXT(INDEX(Escaleta!$E$1:$E$504,S175),"hh:mm"),"")))</f>
        <v/>
      </c>
      <c r="L175" s="50">
        <f>IF(OR($A175="",B$6=""),0,SUMPRODUCT(MAX((Escaleta!$A$5:$A$504=$B$4)*(Escaleta!$H$5:$H$504=B$6)*(Escaleta!$K$5:$K$504&lt;&gt;"Cancelada")*(Escaleta!$C$5:$C$504&lt;$A175+Configuración!$C$7/1440)*(Escaleta!$E$5:$E$504&gt;$A175)*ROW(Escaleta!$A$5:$A$504))))</f>
        <v/>
      </c>
      <c r="M175" s="50">
        <f>IF(OR($A175="",C$6=""),0,SUMPRODUCT(MAX((Escaleta!$A$5:$A$504=$B$4)*(Escaleta!$H$5:$H$504=C$6)*(Escaleta!$K$5:$K$504&lt;&gt;"Cancelada")*(Escaleta!$C$5:$C$504&lt;$A175+Configuración!$C$7/1440)*(Escaleta!$E$5:$E$504&gt;$A175)*ROW(Escaleta!$A$5:$A$504))))</f>
        <v/>
      </c>
      <c r="N175" s="50">
        <f>IF(OR($A175="",D$6=""),0,SUMPRODUCT(MAX((Escaleta!$A$5:$A$504=$B$4)*(Escaleta!$H$5:$H$504=D$6)*(Escaleta!$K$5:$K$504&lt;&gt;"Cancelada")*(Escaleta!$C$5:$C$504&lt;$A175+Configuración!$C$7/1440)*(Escaleta!$E$5:$E$504&gt;$A175)*ROW(Escaleta!$A$5:$A$504))))</f>
        <v/>
      </c>
      <c r="O175" s="50">
        <f>IF(OR($A175="",E$6=""),0,SUMPRODUCT(MAX((Escaleta!$A$5:$A$504=$B$4)*(Escaleta!$H$5:$H$504=E$6)*(Escaleta!$K$5:$K$504&lt;&gt;"Cancelada")*(Escaleta!$C$5:$C$504&lt;$A175+Configuración!$C$7/1440)*(Escaleta!$E$5:$E$504&gt;$A175)*ROW(Escaleta!$A$5:$A$504))))</f>
        <v/>
      </c>
      <c r="P175" s="50">
        <f>IF(OR($A175="",F$6=""),0,SUMPRODUCT(MAX((Escaleta!$A$5:$A$504=$B$4)*(Escaleta!$H$5:$H$504=F$6)*(Escaleta!$K$5:$K$504&lt;&gt;"Cancelada")*(Escaleta!$C$5:$C$504&lt;$A175+Configuración!$C$7/1440)*(Escaleta!$E$5:$E$504&gt;$A175)*ROW(Escaleta!$A$5:$A$504))))</f>
        <v/>
      </c>
      <c r="Q175" s="50">
        <f>IF(OR($A175="",G$6=""),0,SUMPRODUCT(MAX((Escaleta!$A$5:$A$504=$B$4)*(Escaleta!$H$5:$H$504=G$6)*(Escaleta!$K$5:$K$504&lt;&gt;"Cancelada")*(Escaleta!$C$5:$C$504&lt;$A175+Configuración!$C$7/1440)*(Escaleta!$E$5:$E$504&gt;$A175)*ROW(Escaleta!$A$5:$A$504))))</f>
        <v/>
      </c>
      <c r="R175" s="50">
        <f>IF(OR($A175="",H$6=""),0,SUMPRODUCT(MAX((Escaleta!$A$5:$A$504=$B$4)*(Escaleta!$H$5:$H$504=H$6)*(Escaleta!$K$5:$K$504&lt;&gt;"Cancelada")*(Escaleta!$C$5:$C$504&lt;$A175+Configuración!$C$7/1440)*(Escaleta!$E$5:$E$504&gt;$A175)*ROW(Escaleta!$A$5:$A$504))))</f>
        <v/>
      </c>
      <c r="S175" s="50">
        <f>IF(OR($A175="",I$6=""),0,SUMPRODUCT(MAX((Escaleta!$A$5:$A$504=$B$4)*(Escaleta!$H$5:$H$504=I$6)*(Escaleta!$K$5:$K$504&lt;&gt;"Cancelada")*(Escaleta!$C$5:$C$504&lt;$A175+Configuración!$C$7/1440)*(Escaleta!$E$5:$E$504&gt;$A175)*ROW(Escaleta!$A$5:$A$504))))</f>
        <v/>
      </c>
      <c r="U175" s="50">
        <f>IF(L175=0,"",INDEX(Escaleta!$I$1:$I$504,L175))</f>
        <v/>
      </c>
      <c r="V175" s="50">
        <f>IF(M175=0,"",INDEX(Escaleta!$I$1:$I$504,M175))</f>
        <v/>
      </c>
      <c r="W175" s="50">
        <f>IF(N175=0,"",INDEX(Escaleta!$I$1:$I$504,N175))</f>
        <v/>
      </c>
      <c r="X175" s="50">
        <f>IF(O175=0,"",INDEX(Escaleta!$I$1:$I$504,O175))</f>
        <v/>
      </c>
      <c r="Y175" s="50">
        <f>IF(P175=0,"",INDEX(Escaleta!$I$1:$I$504,P175))</f>
        <v/>
      </c>
      <c r="Z175" s="50">
        <f>IF(Q175=0,"",INDEX(Escaleta!$I$1:$I$504,Q175))</f>
        <v/>
      </c>
      <c r="AA175" s="50">
        <f>IF(R175=0,"",INDEX(Escaleta!$I$1:$I$504,R175))</f>
        <v/>
      </c>
      <c r="AB175" s="50">
        <f>IF(S175=0,"",INDEX(Escaleta!$I$1:$I$504,S175))</f>
        <v/>
      </c>
    </row>
    <row r="176" ht="18" customHeight="1">
      <c r="A176" s="48">
        <f>IF(A175="","",IF(A175+Configuración!$C$7/1440&gt;Configuración!$C$6-0.0001,"",A175+Configuración!$C$7/1440))</f>
        <v/>
      </c>
      <c r="B176" s="49">
        <f>IF(L176=0,"",IF(L176&lt;&gt;L175,INDEX(Escaleta!$F$1:$F$504,L176),IF(L176&lt;&gt;L174,TEXT(INDEX(Escaleta!$C$1:$C$504,L176),"hh:mm")&amp;"–"&amp;TEXT(INDEX(Escaleta!$E$1:$E$504,L176),"hh:mm"),"")))</f>
        <v/>
      </c>
      <c r="C176" s="49">
        <f>IF(M176=0,"",IF(M176&lt;&gt;M175,INDEX(Escaleta!$F$1:$F$504,M176),IF(M176&lt;&gt;M174,TEXT(INDEX(Escaleta!$C$1:$C$504,M176),"hh:mm")&amp;"–"&amp;TEXT(INDEX(Escaleta!$E$1:$E$504,M176),"hh:mm"),"")))</f>
        <v/>
      </c>
      <c r="D176" s="49">
        <f>IF(N176=0,"",IF(N176&lt;&gt;N175,INDEX(Escaleta!$F$1:$F$504,N176),IF(N176&lt;&gt;N174,TEXT(INDEX(Escaleta!$C$1:$C$504,N176),"hh:mm")&amp;"–"&amp;TEXT(INDEX(Escaleta!$E$1:$E$504,N176),"hh:mm"),"")))</f>
        <v/>
      </c>
      <c r="E176" s="49">
        <f>IF(O176=0,"",IF(O176&lt;&gt;O175,INDEX(Escaleta!$F$1:$F$504,O176),IF(O176&lt;&gt;O174,TEXT(INDEX(Escaleta!$C$1:$C$504,O176),"hh:mm")&amp;"–"&amp;TEXT(INDEX(Escaleta!$E$1:$E$504,O176),"hh:mm"),"")))</f>
        <v/>
      </c>
      <c r="F176" s="49">
        <f>IF(P176=0,"",IF(P176&lt;&gt;P175,INDEX(Escaleta!$F$1:$F$504,P176),IF(P176&lt;&gt;P174,TEXT(INDEX(Escaleta!$C$1:$C$504,P176),"hh:mm")&amp;"–"&amp;TEXT(INDEX(Escaleta!$E$1:$E$504,P176),"hh:mm"),"")))</f>
        <v/>
      </c>
      <c r="G176" s="49">
        <f>IF(Q176=0,"",IF(Q176&lt;&gt;Q175,INDEX(Escaleta!$F$1:$F$504,Q176),IF(Q176&lt;&gt;Q174,TEXT(INDEX(Escaleta!$C$1:$C$504,Q176),"hh:mm")&amp;"–"&amp;TEXT(INDEX(Escaleta!$E$1:$E$504,Q176),"hh:mm"),"")))</f>
        <v/>
      </c>
      <c r="H176" s="49">
        <f>IF(R176=0,"",IF(R176&lt;&gt;R175,INDEX(Escaleta!$F$1:$F$504,R176),IF(R176&lt;&gt;R174,TEXT(INDEX(Escaleta!$C$1:$C$504,R176),"hh:mm")&amp;"–"&amp;TEXT(INDEX(Escaleta!$E$1:$E$504,R176),"hh:mm"),"")))</f>
        <v/>
      </c>
      <c r="I176" s="49">
        <f>IF(S176=0,"",IF(S176&lt;&gt;S175,INDEX(Escaleta!$F$1:$F$504,S176),IF(S176&lt;&gt;S174,TEXT(INDEX(Escaleta!$C$1:$C$504,S176),"hh:mm")&amp;"–"&amp;TEXT(INDEX(Escaleta!$E$1:$E$504,S176),"hh:mm"),"")))</f>
        <v/>
      </c>
      <c r="L176" s="50">
        <f>IF(OR($A176="",B$6=""),0,SUMPRODUCT(MAX((Escaleta!$A$5:$A$504=$B$4)*(Escaleta!$H$5:$H$504=B$6)*(Escaleta!$K$5:$K$504&lt;&gt;"Cancelada")*(Escaleta!$C$5:$C$504&lt;$A176+Configuración!$C$7/1440)*(Escaleta!$E$5:$E$504&gt;$A176)*ROW(Escaleta!$A$5:$A$504))))</f>
        <v/>
      </c>
      <c r="M176" s="50">
        <f>IF(OR($A176="",C$6=""),0,SUMPRODUCT(MAX((Escaleta!$A$5:$A$504=$B$4)*(Escaleta!$H$5:$H$504=C$6)*(Escaleta!$K$5:$K$504&lt;&gt;"Cancelada")*(Escaleta!$C$5:$C$504&lt;$A176+Configuración!$C$7/1440)*(Escaleta!$E$5:$E$504&gt;$A176)*ROW(Escaleta!$A$5:$A$504))))</f>
        <v/>
      </c>
      <c r="N176" s="50">
        <f>IF(OR($A176="",D$6=""),0,SUMPRODUCT(MAX((Escaleta!$A$5:$A$504=$B$4)*(Escaleta!$H$5:$H$504=D$6)*(Escaleta!$K$5:$K$504&lt;&gt;"Cancelada")*(Escaleta!$C$5:$C$504&lt;$A176+Configuración!$C$7/1440)*(Escaleta!$E$5:$E$504&gt;$A176)*ROW(Escaleta!$A$5:$A$504))))</f>
        <v/>
      </c>
      <c r="O176" s="50">
        <f>IF(OR($A176="",E$6=""),0,SUMPRODUCT(MAX((Escaleta!$A$5:$A$504=$B$4)*(Escaleta!$H$5:$H$504=E$6)*(Escaleta!$K$5:$K$504&lt;&gt;"Cancelada")*(Escaleta!$C$5:$C$504&lt;$A176+Configuración!$C$7/1440)*(Escaleta!$E$5:$E$504&gt;$A176)*ROW(Escaleta!$A$5:$A$504))))</f>
        <v/>
      </c>
      <c r="P176" s="50">
        <f>IF(OR($A176="",F$6=""),0,SUMPRODUCT(MAX((Escaleta!$A$5:$A$504=$B$4)*(Escaleta!$H$5:$H$504=F$6)*(Escaleta!$K$5:$K$504&lt;&gt;"Cancelada")*(Escaleta!$C$5:$C$504&lt;$A176+Configuración!$C$7/1440)*(Escaleta!$E$5:$E$504&gt;$A176)*ROW(Escaleta!$A$5:$A$504))))</f>
        <v/>
      </c>
      <c r="Q176" s="50">
        <f>IF(OR($A176="",G$6=""),0,SUMPRODUCT(MAX((Escaleta!$A$5:$A$504=$B$4)*(Escaleta!$H$5:$H$504=G$6)*(Escaleta!$K$5:$K$504&lt;&gt;"Cancelada")*(Escaleta!$C$5:$C$504&lt;$A176+Configuración!$C$7/1440)*(Escaleta!$E$5:$E$504&gt;$A176)*ROW(Escaleta!$A$5:$A$504))))</f>
        <v/>
      </c>
      <c r="R176" s="50">
        <f>IF(OR($A176="",H$6=""),0,SUMPRODUCT(MAX((Escaleta!$A$5:$A$504=$B$4)*(Escaleta!$H$5:$H$504=H$6)*(Escaleta!$K$5:$K$504&lt;&gt;"Cancelada")*(Escaleta!$C$5:$C$504&lt;$A176+Configuración!$C$7/1440)*(Escaleta!$E$5:$E$504&gt;$A176)*ROW(Escaleta!$A$5:$A$504))))</f>
        <v/>
      </c>
      <c r="S176" s="50">
        <f>IF(OR($A176="",I$6=""),0,SUMPRODUCT(MAX((Escaleta!$A$5:$A$504=$B$4)*(Escaleta!$H$5:$H$504=I$6)*(Escaleta!$K$5:$K$504&lt;&gt;"Cancelada")*(Escaleta!$C$5:$C$504&lt;$A176+Configuración!$C$7/1440)*(Escaleta!$E$5:$E$504&gt;$A176)*ROW(Escaleta!$A$5:$A$504))))</f>
        <v/>
      </c>
      <c r="U176" s="50">
        <f>IF(L176=0,"",INDEX(Escaleta!$I$1:$I$504,L176))</f>
        <v/>
      </c>
      <c r="V176" s="50">
        <f>IF(M176=0,"",INDEX(Escaleta!$I$1:$I$504,M176))</f>
        <v/>
      </c>
      <c r="W176" s="50">
        <f>IF(N176=0,"",INDEX(Escaleta!$I$1:$I$504,N176))</f>
        <v/>
      </c>
      <c r="X176" s="50">
        <f>IF(O176=0,"",INDEX(Escaleta!$I$1:$I$504,O176))</f>
        <v/>
      </c>
      <c r="Y176" s="50">
        <f>IF(P176=0,"",INDEX(Escaleta!$I$1:$I$504,P176))</f>
        <v/>
      </c>
      <c r="Z176" s="50">
        <f>IF(Q176=0,"",INDEX(Escaleta!$I$1:$I$504,Q176))</f>
        <v/>
      </c>
      <c r="AA176" s="50">
        <f>IF(R176=0,"",INDEX(Escaleta!$I$1:$I$504,R176))</f>
        <v/>
      </c>
      <c r="AB176" s="50">
        <f>IF(S176=0,"",INDEX(Escaleta!$I$1:$I$504,S176))</f>
        <v/>
      </c>
    </row>
    <row r="177" ht="18" customHeight="1">
      <c r="A177" s="48">
        <f>IF(A176="","",IF(A176+Configuración!$C$7/1440&gt;Configuración!$C$6-0.0001,"",A176+Configuración!$C$7/1440))</f>
        <v/>
      </c>
      <c r="B177" s="49">
        <f>IF(L177=0,"",IF(L177&lt;&gt;L176,INDEX(Escaleta!$F$1:$F$504,L177),IF(L177&lt;&gt;L175,TEXT(INDEX(Escaleta!$C$1:$C$504,L177),"hh:mm")&amp;"–"&amp;TEXT(INDEX(Escaleta!$E$1:$E$504,L177),"hh:mm"),"")))</f>
        <v/>
      </c>
      <c r="C177" s="49">
        <f>IF(M177=0,"",IF(M177&lt;&gt;M176,INDEX(Escaleta!$F$1:$F$504,M177),IF(M177&lt;&gt;M175,TEXT(INDEX(Escaleta!$C$1:$C$504,M177),"hh:mm")&amp;"–"&amp;TEXT(INDEX(Escaleta!$E$1:$E$504,M177),"hh:mm"),"")))</f>
        <v/>
      </c>
      <c r="D177" s="49">
        <f>IF(N177=0,"",IF(N177&lt;&gt;N176,INDEX(Escaleta!$F$1:$F$504,N177),IF(N177&lt;&gt;N175,TEXT(INDEX(Escaleta!$C$1:$C$504,N177),"hh:mm")&amp;"–"&amp;TEXT(INDEX(Escaleta!$E$1:$E$504,N177),"hh:mm"),"")))</f>
        <v/>
      </c>
      <c r="E177" s="49">
        <f>IF(O177=0,"",IF(O177&lt;&gt;O176,INDEX(Escaleta!$F$1:$F$504,O177),IF(O177&lt;&gt;O175,TEXT(INDEX(Escaleta!$C$1:$C$504,O177),"hh:mm")&amp;"–"&amp;TEXT(INDEX(Escaleta!$E$1:$E$504,O177),"hh:mm"),"")))</f>
        <v/>
      </c>
      <c r="F177" s="49">
        <f>IF(P177=0,"",IF(P177&lt;&gt;P176,INDEX(Escaleta!$F$1:$F$504,P177),IF(P177&lt;&gt;P175,TEXT(INDEX(Escaleta!$C$1:$C$504,P177),"hh:mm")&amp;"–"&amp;TEXT(INDEX(Escaleta!$E$1:$E$504,P177),"hh:mm"),"")))</f>
        <v/>
      </c>
      <c r="G177" s="49">
        <f>IF(Q177=0,"",IF(Q177&lt;&gt;Q176,INDEX(Escaleta!$F$1:$F$504,Q177),IF(Q177&lt;&gt;Q175,TEXT(INDEX(Escaleta!$C$1:$C$504,Q177),"hh:mm")&amp;"–"&amp;TEXT(INDEX(Escaleta!$E$1:$E$504,Q177),"hh:mm"),"")))</f>
        <v/>
      </c>
      <c r="H177" s="49">
        <f>IF(R177=0,"",IF(R177&lt;&gt;R176,INDEX(Escaleta!$F$1:$F$504,R177),IF(R177&lt;&gt;R175,TEXT(INDEX(Escaleta!$C$1:$C$504,R177),"hh:mm")&amp;"–"&amp;TEXT(INDEX(Escaleta!$E$1:$E$504,R177),"hh:mm"),"")))</f>
        <v/>
      </c>
      <c r="I177" s="49">
        <f>IF(S177=0,"",IF(S177&lt;&gt;S176,INDEX(Escaleta!$F$1:$F$504,S177),IF(S177&lt;&gt;S175,TEXT(INDEX(Escaleta!$C$1:$C$504,S177),"hh:mm")&amp;"–"&amp;TEXT(INDEX(Escaleta!$E$1:$E$504,S177),"hh:mm"),"")))</f>
        <v/>
      </c>
      <c r="L177" s="50">
        <f>IF(OR($A177="",B$6=""),0,SUMPRODUCT(MAX((Escaleta!$A$5:$A$504=$B$4)*(Escaleta!$H$5:$H$504=B$6)*(Escaleta!$K$5:$K$504&lt;&gt;"Cancelada")*(Escaleta!$C$5:$C$504&lt;$A177+Configuración!$C$7/1440)*(Escaleta!$E$5:$E$504&gt;$A177)*ROW(Escaleta!$A$5:$A$504))))</f>
        <v/>
      </c>
      <c r="M177" s="50">
        <f>IF(OR($A177="",C$6=""),0,SUMPRODUCT(MAX((Escaleta!$A$5:$A$504=$B$4)*(Escaleta!$H$5:$H$504=C$6)*(Escaleta!$K$5:$K$504&lt;&gt;"Cancelada")*(Escaleta!$C$5:$C$504&lt;$A177+Configuración!$C$7/1440)*(Escaleta!$E$5:$E$504&gt;$A177)*ROW(Escaleta!$A$5:$A$504))))</f>
        <v/>
      </c>
      <c r="N177" s="50">
        <f>IF(OR($A177="",D$6=""),0,SUMPRODUCT(MAX((Escaleta!$A$5:$A$504=$B$4)*(Escaleta!$H$5:$H$504=D$6)*(Escaleta!$K$5:$K$504&lt;&gt;"Cancelada")*(Escaleta!$C$5:$C$504&lt;$A177+Configuración!$C$7/1440)*(Escaleta!$E$5:$E$504&gt;$A177)*ROW(Escaleta!$A$5:$A$504))))</f>
        <v/>
      </c>
      <c r="O177" s="50">
        <f>IF(OR($A177="",E$6=""),0,SUMPRODUCT(MAX((Escaleta!$A$5:$A$504=$B$4)*(Escaleta!$H$5:$H$504=E$6)*(Escaleta!$K$5:$K$504&lt;&gt;"Cancelada")*(Escaleta!$C$5:$C$504&lt;$A177+Configuración!$C$7/1440)*(Escaleta!$E$5:$E$504&gt;$A177)*ROW(Escaleta!$A$5:$A$504))))</f>
        <v/>
      </c>
      <c r="P177" s="50">
        <f>IF(OR($A177="",F$6=""),0,SUMPRODUCT(MAX((Escaleta!$A$5:$A$504=$B$4)*(Escaleta!$H$5:$H$504=F$6)*(Escaleta!$K$5:$K$504&lt;&gt;"Cancelada")*(Escaleta!$C$5:$C$504&lt;$A177+Configuración!$C$7/1440)*(Escaleta!$E$5:$E$504&gt;$A177)*ROW(Escaleta!$A$5:$A$504))))</f>
        <v/>
      </c>
      <c r="Q177" s="50">
        <f>IF(OR($A177="",G$6=""),0,SUMPRODUCT(MAX((Escaleta!$A$5:$A$504=$B$4)*(Escaleta!$H$5:$H$504=G$6)*(Escaleta!$K$5:$K$504&lt;&gt;"Cancelada")*(Escaleta!$C$5:$C$504&lt;$A177+Configuración!$C$7/1440)*(Escaleta!$E$5:$E$504&gt;$A177)*ROW(Escaleta!$A$5:$A$504))))</f>
        <v/>
      </c>
      <c r="R177" s="50">
        <f>IF(OR($A177="",H$6=""),0,SUMPRODUCT(MAX((Escaleta!$A$5:$A$504=$B$4)*(Escaleta!$H$5:$H$504=H$6)*(Escaleta!$K$5:$K$504&lt;&gt;"Cancelada")*(Escaleta!$C$5:$C$504&lt;$A177+Configuración!$C$7/1440)*(Escaleta!$E$5:$E$504&gt;$A177)*ROW(Escaleta!$A$5:$A$504))))</f>
        <v/>
      </c>
      <c r="S177" s="50">
        <f>IF(OR($A177="",I$6=""),0,SUMPRODUCT(MAX((Escaleta!$A$5:$A$504=$B$4)*(Escaleta!$H$5:$H$504=I$6)*(Escaleta!$K$5:$K$504&lt;&gt;"Cancelada")*(Escaleta!$C$5:$C$504&lt;$A177+Configuración!$C$7/1440)*(Escaleta!$E$5:$E$504&gt;$A177)*ROW(Escaleta!$A$5:$A$504))))</f>
        <v/>
      </c>
      <c r="U177" s="50">
        <f>IF(L177=0,"",INDEX(Escaleta!$I$1:$I$504,L177))</f>
        <v/>
      </c>
      <c r="V177" s="50">
        <f>IF(M177=0,"",INDEX(Escaleta!$I$1:$I$504,M177))</f>
        <v/>
      </c>
      <c r="W177" s="50">
        <f>IF(N177=0,"",INDEX(Escaleta!$I$1:$I$504,N177))</f>
        <v/>
      </c>
      <c r="X177" s="50">
        <f>IF(O177=0,"",INDEX(Escaleta!$I$1:$I$504,O177))</f>
        <v/>
      </c>
      <c r="Y177" s="50">
        <f>IF(P177=0,"",INDEX(Escaleta!$I$1:$I$504,P177))</f>
        <v/>
      </c>
      <c r="Z177" s="50">
        <f>IF(Q177=0,"",INDEX(Escaleta!$I$1:$I$504,Q177))</f>
        <v/>
      </c>
      <c r="AA177" s="50">
        <f>IF(R177=0,"",INDEX(Escaleta!$I$1:$I$504,R177))</f>
        <v/>
      </c>
      <c r="AB177" s="50">
        <f>IF(S177=0,"",INDEX(Escaleta!$I$1:$I$504,S177))</f>
        <v/>
      </c>
    </row>
    <row r="178" ht="18" customHeight="1">
      <c r="A178" s="48">
        <f>IF(A177="","",IF(A177+Configuración!$C$7/1440&gt;Configuración!$C$6-0.0001,"",A177+Configuración!$C$7/1440))</f>
        <v/>
      </c>
      <c r="B178" s="49">
        <f>IF(L178=0,"",IF(L178&lt;&gt;L177,INDEX(Escaleta!$F$1:$F$504,L178),IF(L178&lt;&gt;L176,TEXT(INDEX(Escaleta!$C$1:$C$504,L178),"hh:mm")&amp;"–"&amp;TEXT(INDEX(Escaleta!$E$1:$E$504,L178),"hh:mm"),"")))</f>
        <v/>
      </c>
      <c r="C178" s="49">
        <f>IF(M178=0,"",IF(M178&lt;&gt;M177,INDEX(Escaleta!$F$1:$F$504,M178),IF(M178&lt;&gt;M176,TEXT(INDEX(Escaleta!$C$1:$C$504,M178),"hh:mm")&amp;"–"&amp;TEXT(INDEX(Escaleta!$E$1:$E$504,M178),"hh:mm"),"")))</f>
        <v/>
      </c>
      <c r="D178" s="49">
        <f>IF(N178=0,"",IF(N178&lt;&gt;N177,INDEX(Escaleta!$F$1:$F$504,N178),IF(N178&lt;&gt;N176,TEXT(INDEX(Escaleta!$C$1:$C$504,N178),"hh:mm")&amp;"–"&amp;TEXT(INDEX(Escaleta!$E$1:$E$504,N178),"hh:mm"),"")))</f>
        <v/>
      </c>
      <c r="E178" s="49">
        <f>IF(O178=0,"",IF(O178&lt;&gt;O177,INDEX(Escaleta!$F$1:$F$504,O178),IF(O178&lt;&gt;O176,TEXT(INDEX(Escaleta!$C$1:$C$504,O178),"hh:mm")&amp;"–"&amp;TEXT(INDEX(Escaleta!$E$1:$E$504,O178),"hh:mm"),"")))</f>
        <v/>
      </c>
      <c r="F178" s="49">
        <f>IF(P178=0,"",IF(P178&lt;&gt;P177,INDEX(Escaleta!$F$1:$F$504,P178),IF(P178&lt;&gt;P176,TEXT(INDEX(Escaleta!$C$1:$C$504,P178),"hh:mm")&amp;"–"&amp;TEXT(INDEX(Escaleta!$E$1:$E$504,P178),"hh:mm"),"")))</f>
        <v/>
      </c>
      <c r="G178" s="49">
        <f>IF(Q178=0,"",IF(Q178&lt;&gt;Q177,INDEX(Escaleta!$F$1:$F$504,Q178),IF(Q178&lt;&gt;Q176,TEXT(INDEX(Escaleta!$C$1:$C$504,Q178),"hh:mm")&amp;"–"&amp;TEXT(INDEX(Escaleta!$E$1:$E$504,Q178),"hh:mm"),"")))</f>
        <v/>
      </c>
      <c r="H178" s="49">
        <f>IF(R178=0,"",IF(R178&lt;&gt;R177,INDEX(Escaleta!$F$1:$F$504,R178),IF(R178&lt;&gt;R176,TEXT(INDEX(Escaleta!$C$1:$C$504,R178),"hh:mm")&amp;"–"&amp;TEXT(INDEX(Escaleta!$E$1:$E$504,R178),"hh:mm"),"")))</f>
        <v/>
      </c>
      <c r="I178" s="49">
        <f>IF(S178=0,"",IF(S178&lt;&gt;S177,INDEX(Escaleta!$F$1:$F$504,S178),IF(S178&lt;&gt;S176,TEXT(INDEX(Escaleta!$C$1:$C$504,S178),"hh:mm")&amp;"–"&amp;TEXT(INDEX(Escaleta!$E$1:$E$504,S178),"hh:mm"),"")))</f>
        <v/>
      </c>
      <c r="L178" s="50">
        <f>IF(OR($A178="",B$6=""),0,SUMPRODUCT(MAX((Escaleta!$A$5:$A$504=$B$4)*(Escaleta!$H$5:$H$504=B$6)*(Escaleta!$K$5:$K$504&lt;&gt;"Cancelada")*(Escaleta!$C$5:$C$504&lt;$A178+Configuración!$C$7/1440)*(Escaleta!$E$5:$E$504&gt;$A178)*ROW(Escaleta!$A$5:$A$504))))</f>
        <v/>
      </c>
      <c r="M178" s="50">
        <f>IF(OR($A178="",C$6=""),0,SUMPRODUCT(MAX((Escaleta!$A$5:$A$504=$B$4)*(Escaleta!$H$5:$H$504=C$6)*(Escaleta!$K$5:$K$504&lt;&gt;"Cancelada")*(Escaleta!$C$5:$C$504&lt;$A178+Configuración!$C$7/1440)*(Escaleta!$E$5:$E$504&gt;$A178)*ROW(Escaleta!$A$5:$A$504))))</f>
        <v/>
      </c>
      <c r="N178" s="50">
        <f>IF(OR($A178="",D$6=""),0,SUMPRODUCT(MAX((Escaleta!$A$5:$A$504=$B$4)*(Escaleta!$H$5:$H$504=D$6)*(Escaleta!$K$5:$K$504&lt;&gt;"Cancelada")*(Escaleta!$C$5:$C$504&lt;$A178+Configuración!$C$7/1440)*(Escaleta!$E$5:$E$504&gt;$A178)*ROW(Escaleta!$A$5:$A$504))))</f>
        <v/>
      </c>
      <c r="O178" s="50">
        <f>IF(OR($A178="",E$6=""),0,SUMPRODUCT(MAX((Escaleta!$A$5:$A$504=$B$4)*(Escaleta!$H$5:$H$504=E$6)*(Escaleta!$K$5:$K$504&lt;&gt;"Cancelada")*(Escaleta!$C$5:$C$504&lt;$A178+Configuración!$C$7/1440)*(Escaleta!$E$5:$E$504&gt;$A178)*ROW(Escaleta!$A$5:$A$504))))</f>
        <v/>
      </c>
      <c r="P178" s="50">
        <f>IF(OR($A178="",F$6=""),0,SUMPRODUCT(MAX((Escaleta!$A$5:$A$504=$B$4)*(Escaleta!$H$5:$H$504=F$6)*(Escaleta!$K$5:$K$504&lt;&gt;"Cancelada")*(Escaleta!$C$5:$C$504&lt;$A178+Configuración!$C$7/1440)*(Escaleta!$E$5:$E$504&gt;$A178)*ROW(Escaleta!$A$5:$A$504))))</f>
        <v/>
      </c>
      <c r="Q178" s="50">
        <f>IF(OR($A178="",G$6=""),0,SUMPRODUCT(MAX((Escaleta!$A$5:$A$504=$B$4)*(Escaleta!$H$5:$H$504=G$6)*(Escaleta!$K$5:$K$504&lt;&gt;"Cancelada")*(Escaleta!$C$5:$C$504&lt;$A178+Configuración!$C$7/1440)*(Escaleta!$E$5:$E$504&gt;$A178)*ROW(Escaleta!$A$5:$A$504))))</f>
        <v/>
      </c>
      <c r="R178" s="50">
        <f>IF(OR($A178="",H$6=""),0,SUMPRODUCT(MAX((Escaleta!$A$5:$A$504=$B$4)*(Escaleta!$H$5:$H$504=H$6)*(Escaleta!$K$5:$K$504&lt;&gt;"Cancelada")*(Escaleta!$C$5:$C$504&lt;$A178+Configuración!$C$7/1440)*(Escaleta!$E$5:$E$504&gt;$A178)*ROW(Escaleta!$A$5:$A$504))))</f>
        <v/>
      </c>
      <c r="S178" s="50">
        <f>IF(OR($A178="",I$6=""),0,SUMPRODUCT(MAX((Escaleta!$A$5:$A$504=$B$4)*(Escaleta!$H$5:$H$504=I$6)*(Escaleta!$K$5:$K$504&lt;&gt;"Cancelada")*(Escaleta!$C$5:$C$504&lt;$A178+Configuración!$C$7/1440)*(Escaleta!$E$5:$E$504&gt;$A178)*ROW(Escaleta!$A$5:$A$504))))</f>
        <v/>
      </c>
      <c r="U178" s="50">
        <f>IF(L178=0,"",INDEX(Escaleta!$I$1:$I$504,L178))</f>
        <v/>
      </c>
      <c r="V178" s="50">
        <f>IF(M178=0,"",INDEX(Escaleta!$I$1:$I$504,M178))</f>
        <v/>
      </c>
      <c r="W178" s="50">
        <f>IF(N178=0,"",INDEX(Escaleta!$I$1:$I$504,N178))</f>
        <v/>
      </c>
      <c r="X178" s="50">
        <f>IF(O178=0,"",INDEX(Escaleta!$I$1:$I$504,O178))</f>
        <v/>
      </c>
      <c r="Y178" s="50">
        <f>IF(P178=0,"",INDEX(Escaleta!$I$1:$I$504,P178))</f>
        <v/>
      </c>
      <c r="Z178" s="50">
        <f>IF(Q178=0,"",INDEX(Escaleta!$I$1:$I$504,Q178))</f>
        <v/>
      </c>
      <c r="AA178" s="50">
        <f>IF(R178=0,"",INDEX(Escaleta!$I$1:$I$504,R178))</f>
        <v/>
      </c>
      <c r="AB178" s="50">
        <f>IF(S178=0,"",INDEX(Escaleta!$I$1:$I$504,S178))</f>
        <v/>
      </c>
    </row>
    <row r="179" ht="18" customHeight="1">
      <c r="A179" s="48">
        <f>IF(A178="","",IF(A178+Configuración!$C$7/1440&gt;Configuración!$C$6-0.0001,"",A178+Configuración!$C$7/1440))</f>
        <v/>
      </c>
      <c r="B179" s="49">
        <f>IF(L179=0,"",IF(L179&lt;&gt;L178,INDEX(Escaleta!$F$1:$F$504,L179),IF(L179&lt;&gt;L177,TEXT(INDEX(Escaleta!$C$1:$C$504,L179),"hh:mm")&amp;"–"&amp;TEXT(INDEX(Escaleta!$E$1:$E$504,L179),"hh:mm"),"")))</f>
        <v/>
      </c>
      <c r="C179" s="49">
        <f>IF(M179=0,"",IF(M179&lt;&gt;M178,INDEX(Escaleta!$F$1:$F$504,M179),IF(M179&lt;&gt;M177,TEXT(INDEX(Escaleta!$C$1:$C$504,M179),"hh:mm")&amp;"–"&amp;TEXT(INDEX(Escaleta!$E$1:$E$504,M179),"hh:mm"),"")))</f>
        <v/>
      </c>
      <c r="D179" s="49">
        <f>IF(N179=0,"",IF(N179&lt;&gt;N178,INDEX(Escaleta!$F$1:$F$504,N179),IF(N179&lt;&gt;N177,TEXT(INDEX(Escaleta!$C$1:$C$504,N179),"hh:mm")&amp;"–"&amp;TEXT(INDEX(Escaleta!$E$1:$E$504,N179),"hh:mm"),"")))</f>
        <v/>
      </c>
      <c r="E179" s="49">
        <f>IF(O179=0,"",IF(O179&lt;&gt;O178,INDEX(Escaleta!$F$1:$F$504,O179),IF(O179&lt;&gt;O177,TEXT(INDEX(Escaleta!$C$1:$C$504,O179),"hh:mm")&amp;"–"&amp;TEXT(INDEX(Escaleta!$E$1:$E$504,O179),"hh:mm"),"")))</f>
        <v/>
      </c>
      <c r="F179" s="49">
        <f>IF(P179=0,"",IF(P179&lt;&gt;P178,INDEX(Escaleta!$F$1:$F$504,P179),IF(P179&lt;&gt;P177,TEXT(INDEX(Escaleta!$C$1:$C$504,P179),"hh:mm")&amp;"–"&amp;TEXT(INDEX(Escaleta!$E$1:$E$504,P179),"hh:mm"),"")))</f>
        <v/>
      </c>
      <c r="G179" s="49">
        <f>IF(Q179=0,"",IF(Q179&lt;&gt;Q178,INDEX(Escaleta!$F$1:$F$504,Q179),IF(Q179&lt;&gt;Q177,TEXT(INDEX(Escaleta!$C$1:$C$504,Q179),"hh:mm")&amp;"–"&amp;TEXT(INDEX(Escaleta!$E$1:$E$504,Q179),"hh:mm"),"")))</f>
        <v/>
      </c>
      <c r="H179" s="49">
        <f>IF(R179=0,"",IF(R179&lt;&gt;R178,INDEX(Escaleta!$F$1:$F$504,R179),IF(R179&lt;&gt;R177,TEXT(INDEX(Escaleta!$C$1:$C$504,R179),"hh:mm")&amp;"–"&amp;TEXT(INDEX(Escaleta!$E$1:$E$504,R179),"hh:mm"),"")))</f>
        <v/>
      </c>
      <c r="I179" s="49">
        <f>IF(S179=0,"",IF(S179&lt;&gt;S178,INDEX(Escaleta!$F$1:$F$504,S179),IF(S179&lt;&gt;S177,TEXT(INDEX(Escaleta!$C$1:$C$504,S179),"hh:mm")&amp;"–"&amp;TEXT(INDEX(Escaleta!$E$1:$E$504,S179),"hh:mm"),"")))</f>
        <v/>
      </c>
      <c r="L179" s="50">
        <f>IF(OR($A179="",B$6=""),0,SUMPRODUCT(MAX((Escaleta!$A$5:$A$504=$B$4)*(Escaleta!$H$5:$H$504=B$6)*(Escaleta!$K$5:$K$504&lt;&gt;"Cancelada")*(Escaleta!$C$5:$C$504&lt;$A179+Configuración!$C$7/1440)*(Escaleta!$E$5:$E$504&gt;$A179)*ROW(Escaleta!$A$5:$A$504))))</f>
        <v/>
      </c>
      <c r="M179" s="50">
        <f>IF(OR($A179="",C$6=""),0,SUMPRODUCT(MAX((Escaleta!$A$5:$A$504=$B$4)*(Escaleta!$H$5:$H$504=C$6)*(Escaleta!$K$5:$K$504&lt;&gt;"Cancelada")*(Escaleta!$C$5:$C$504&lt;$A179+Configuración!$C$7/1440)*(Escaleta!$E$5:$E$504&gt;$A179)*ROW(Escaleta!$A$5:$A$504))))</f>
        <v/>
      </c>
      <c r="N179" s="50">
        <f>IF(OR($A179="",D$6=""),0,SUMPRODUCT(MAX((Escaleta!$A$5:$A$504=$B$4)*(Escaleta!$H$5:$H$504=D$6)*(Escaleta!$K$5:$K$504&lt;&gt;"Cancelada")*(Escaleta!$C$5:$C$504&lt;$A179+Configuración!$C$7/1440)*(Escaleta!$E$5:$E$504&gt;$A179)*ROW(Escaleta!$A$5:$A$504))))</f>
        <v/>
      </c>
      <c r="O179" s="50">
        <f>IF(OR($A179="",E$6=""),0,SUMPRODUCT(MAX((Escaleta!$A$5:$A$504=$B$4)*(Escaleta!$H$5:$H$504=E$6)*(Escaleta!$K$5:$K$504&lt;&gt;"Cancelada")*(Escaleta!$C$5:$C$504&lt;$A179+Configuración!$C$7/1440)*(Escaleta!$E$5:$E$504&gt;$A179)*ROW(Escaleta!$A$5:$A$504))))</f>
        <v/>
      </c>
      <c r="P179" s="50">
        <f>IF(OR($A179="",F$6=""),0,SUMPRODUCT(MAX((Escaleta!$A$5:$A$504=$B$4)*(Escaleta!$H$5:$H$504=F$6)*(Escaleta!$K$5:$K$504&lt;&gt;"Cancelada")*(Escaleta!$C$5:$C$504&lt;$A179+Configuración!$C$7/1440)*(Escaleta!$E$5:$E$504&gt;$A179)*ROW(Escaleta!$A$5:$A$504))))</f>
        <v/>
      </c>
      <c r="Q179" s="50">
        <f>IF(OR($A179="",G$6=""),0,SUMPRODUCT(MAX((Escaleta!$A$5:$A$504=$B$4)*(Escaleta!$H$5:$H$504=G$6)*(Escaleta!$K$5:$K$504&lt;&gt;"Cancelada")*(Escaleta!$C$5:$C$504&lt;$A179+Configuración!$C$7/1440)*(Escaleta!$E$5:$E$504&gt;$A179)*ROW(Escaleta!$A$5:$A$504))))</f>
        <v/>
      </c>
      <c r="R179" s="50">
        <f>IF(OR($A179="",H$6=""),0,SUMPRODUCT(MAX((Escaleta!$A$5:$A$504=$B$4)*(Escaleta!$H$5:$H$504=H$6)*(Escaleta!$K$5:$K$504&lt;&gt;"Cancelada")*(Escaleta!$C$5:$C$504&lt;$A179+Configuración!$C$7/1440)*(Escaleta!$E$5:$E$504&gt;$A179)*ROW(Escaleta!$A$5:$A$504))))</f>
        <v/>
      </c>
      <c r="S179" s="50">
        <f>IF(OR($A179="",I$6=""),0,SUMPRODUCT(MAX((Escaleta!$A$5:$A$504=$B$4)*(Escaleta!$H$5:$H$504=I$6)*(Escaleta!$K$5:$K$504&lt;&gt;"Cancelada")*(Escaleta!$C$5:$C$504&lt;$A179+Configuración!$C$7/1440)*(Escaleta!$E$5:$E$504&gt;$A179)*ROW(Escaleta!$A$5:$A$504))))</f>
        <v/>
      </c>
      <c r="U179" s="50">
        <f>IF(L179=0,"",INDEX(Escaleta!$I$1:$I$504,L179))</f>
        <v/>
      </c>
      <c r="V179" s="50">
        <f>IF(M179=0,"",INDEX(Escaleta!$I$1:$I$504,M179))</f>
        <v/>
      </c>
      <c r="W179" s="50">
        <f>IF(N179=0,"",INDEX(Escaleta!$I$1:$I$504,N179))</f>
        <v/>
      </c>
      <c r="X179" s="50">
        <f>IF(O179=0,"",INDEX(Escaleta!$I$1:$I$504,O179))</f>
        <v/>
      </c>
      <c r="Y179" s="50">
        <f>IF(P179=0,"",INDEX(Escaleta!$I$1:$I$504,P179))</f>
        <v/>
      </c>
      <c r="Z179" s="50">
        <f>IF(Q179=0,"",INDEX(Escaleta!$I$1:$I$504,Q179))</f>
        <v/>
      </c>
      <c r="AA179" s="50">
        <f>IF(R179=0,"",INDEX(Escaleta!$I$1:$I$504,R179))</f>
        <v/>
      </c>
      <c r="AB179" s="50">
        <f>IF(S179=0,"",INDEX(Escaleta!$I$1:$I$504,S179))</f>
        <v/>
      </c>
    </row>
    <row r="180" ht="18" customHeight="1">
      <c r="A180" s="48">
        <f>IF(A179="","",IF(A179+Configuración!$C$7/1440&gt;Configuración!$C$6-0.0001,"",A179+Configuración!$C$7/1440))</f>
        <v/>
      </c>
      <c r="B180" s="49">
        <f>IF(L180=0,"",IF(L180&lt;&gt;L179,INDEX(Escaleta!$F$1:$F$504,L180),IF(L180&lt;&gt;L178,TEXT(INDEX(Escaleta!$C$1:$C$504,L180),"hh:mm")&amp;"–"&amp;TEXT(INDEX(Escaleta!$E$1:$E$504,L180),"hh:mm"),"")))</f>
        <v/>
      </c>
      <c r="C180" s="49">
        <f>IF(M180=0,"",IF(M180&lt;&gt;M179,INDEX(Escaleta!$F$1:$F$504,M180),IF(M180&lt;&gt;M178,TEXT(INDEX(Escaleta!$C$1:$C$504,M180),"hh:mm")&amp;"–"&amp;TEXT(INDEX(Escaleta!$E$1:$E$504,M180),"hh:mm"),"")))</f>
        <v/>
      </c>
      <c r="D180" s="49">
        <f>IF(N180=0,"",IF(N180&lt;&gt;N179,INDEX(Escaleta!$F$1:$F$504,N180),IF(N180&lt;&gt;N178,TEXT(INDEX(Escaleta!$C$1:$C$504,N180),"hh:mm")&amp;"–"&amp;TEXT(INDEX(Escaleta!$E$1:$E$504,N180),"hh:mm"),"")))</f>
        <v/>
      </c>
      <c r="E180" s="49">
        <f>IF(O180=0,"",IF(O180&lt;&gt;O179,INDEX(Escaleta!$F$1:$F$504,O180),IF(O180&lt;&gt;O178,TEXT(INDEX(Escaleta!$C$1:$C$504,O180),"hh:mm")&amp;"–"&amp;TEXT(INDEX(Escaleta!$E$1:$E$504,O180),"hh:mm"),"")))</f>
        <v/>
      </c>
      <c r="F180" s="49">
        <f>IF(P180=0,"",IF(P180&lt;&gt;P179,INDEX(Escaleta!$F$1:$F$504,P180),IF(P180&lt;&gt;P178,TEXT(INDEX(Escaleta!$C$1:$C$504,P180),"hh:mm")&amp;"–"&amp;TEXT(INDEX(Escaleta!$E$1:$E$504,P180),"hh:mm"),"")))</f>
        <v/>
      </c>
      <c r="G180" s="49">
        <f>IF(Q180=0,"",IF(Q180&lt;&gt;Q179,INDEX(Escaleta!$F$1:$F$504,Q180),IF(Q180&lt;&gt;Q178,TEXT(INDEX(Escaleta!$C$1:$C$504,Q180),"hh:mm")&amp;"–"&amp;TEXT(INDEX(Escaleta!$E$1:$E$504,Q180),"hh:mm"),"")))</f>
        <v/>
      </c>
      <c r="H180" s="49">
        <f>IF(R180=0,"",IF(R180&lt;&gt;R179,INDEX(Escaleta!$F$1:$F$504,R180),IF(R180&lt;&gt;R178,TEXT(INDEX(Escaleta!$C$1:$C$504,R180),"hh:mm")&amp;"–"&amp;TEXT(INDEX(Escaleta!$E$1:$E$504,R180),"hh:mm"),"")))</f>
        <v/>
      </c>
      <c r="I180" s="49">
        <f>IF(S180=0,"",IF(S180&lt;&gt;S179,INDEX(Escaleta!$F$1:$F$504,S180),IF(S180&lt;&gt;S178,TEXT(INDEX(Escaleta!$C$1:$C$504,S180),"hh:mm")&amp;"–"&amp;TEXT(INDEX(Escaleta!$E$1:$E$504,S180),"hh:mm"),"")))</f>
        <v/>
      </c>
      <c r="L180" s="50">
        <f>IF(OR($A180="",B$6=""),0,SUMPRODUCT(MAX((Escaleta!$A$5:$A$504=$B$4)*(Escaleta!$H$5:$H$504=B$6)*(Escaleta!$K$5:$K$504&lt;&gt;"Cancelada")*(Escaleta!$C$5:$C$504&lt;$A180+Configuración!$C$7/1440)*(Escaleta!$E$5:$E$504&gt;$A180)*ROW(Escaleta!$A$5:$A$504))))</f>
        <v/>
      </c>
      <c r="M180" s="50">
        <f>IF(OR($A180="",C$6=""),0,SUMPRODUCT(MAX((Escaleta!$A$5:$A$504=$B$4)*(Escaleta!$H$5:$H$504=C$6)*(Escaleta!$K$5:$K$504&lt;&gt;"Cancelada")*(Escaleta!$C$5:$C$504&lt;$A180+Configuración!$C$7/1440)*(Escaleta!$E$5:$E$504&gt;$A180)*ROW(Escaleta!$A$5:$A$504))))</f>
        <v/>
      </c>
      <c r="N180" s="50">
        <f>IF(OR($A180="",D$6=""),0,SUMPRODUCT(MAX((Escaleta!$A$5:$A$504=$B$4)*(Escaleta!$H$5:$H$504=D$6)*(Escaleta!$K$5:$K$504&lt;&gt;"Cancelada")*(Escaleta!$C$5:$C$504&lt;$A180+Configuración!$C$7/1440)*(Escaleta!$E$5:$E$504&gt;$A180)*ROW(Escaleta!$A$5:$A$504))))</f>
        <v/>
      </c>
      <c r="O180" s="50">
        <f>IF(OR($A180="",E$6=""),0,SUMPRODUCT(MAX((Escaleta!$A$5:$A$504=$B$4)*(Escaleta!$H$5:$H$504=E$6)*(Escaleta!$K$5:$K$504&lt;&gt;"Cancelada")*(Escaleta!$C$5:$C$504&lt;$A180+Configuración!$C$7/1440)*(Escaleta!$E$5:$E$504&gt;$A180)*ROW(Escaleta!$A$5:$A$504))))</f>
        <v/>
      </c>
      <c r="P180" s="50">
        <f>IF(OR($A180="",F$6=""),0,SUMPRODUCT(MAX((Escaleta!$A$5:$A$504=$B$4)*(Escaleta!$H$5:$H$504=F$6)*(Escaleta!$K$5:$K$504&lt;&gt;"Cancelada")*(Escaleta!$C$5:$C$504&lt;$A180+Configuración!$C$7/1440)*(Escaleta!$E$5:$E$504&gt;$A180)*ROW(Escaleta!$A$5:$A$504))))</f>
        <v/>
      </c>
      <c r="Q180" s="50">
        <f>IF(OR($A180="",G$6=""),0,SUMPRODUCT(MAX((Escaleta!$A$5:$A$504=$B$4)*(Escaleta!$H$5:$H$504=G$6)*(Escaleta!$K$5:$K$504&lt;&gt;"Cancelada")*(Escaleta!$C$5:$C$504&lt;$A180+Configuración!$C$7/1440)*(Escaleta!$E$5:$E$504&gt;$A180)*ROW(Escaleta!$A$5:$A$504))))</f>
        <v/>
      </c>
      <c r="R180" s="50">
        <f>IF(OR($A180="",H$6=""),0,SUMPRODUCT(MAX((Escaleta!$A$5:$A$504=$B$4)*(Escaleta!$H$5:$H$504=H$6)*(Escaleta!$K$5:$K$504&lt;&gt;"Cancelada")*(Escaleta!$C$5:$C$504&lt;$A180+Configuración!$C$7/1440)*(Escaleta!$E$5:$E$504&gt;$A180)*ROW(Escaleta!$A$5:$A$504))))</f>
        <v/>
      </c>
      <c r="S180" s="50">
        <f>IF(OR($A180="",I$6=""),0,SUMPRODUCT(MAX((Escaleta!$A$5:$A$504=$B$4)*(Escaleta!$H$5:$H$504=I$6)*(Escaleta!$K$5:$K$504&lt;&gt;"Cancelada")*(Escaleta!$C$5:$C$504&lt;$A180+Configuración!$C$7/1440)*(Escaleta!$E$5:$E$504&gt;$A180)*ROW(Escaleta!$A$5:$A$504))))</f>
        <v/>
      </c>
      <c r="U180" s="50">
        <f>IF(L180=0,"",INDEX(Escaleta!$I$1:$I$504,L180))</f>
        <v/>
      </c>
      <c r="V180" s="50">
        <f>IF(M180=0,"",INDEX(Escaleta!$I$1:$I$504,M180))</f>
        <v/>
      </c>
      <c r="W180" s="50">
        <f>IF(N180=0,"",INDEX(Escaleta!$I$1:$I$504,N180))</f>
        <v/>
      </c>
      <c r="X180" s="50">
        <f>IF(O180=0,"",INDEX(Escaleta!$I$1:$I$504,O180))</f>
        <v/>
      </c>
      <c r="Y180" s="50">
        <f>IF(P180=0,"",INDEX(Escaleta!$I$1:$I$504,P180))</f>
        <v/>
      </c>
      <c r="Z180" s="50">
        <f>IF(Q180=0,"",INDEX(Escaleta!$I$1:$I$504,Q180))</f>
        <v/>
      </c>
      <c r="AA180" s="50">
        <f>IF(R180=0,"",INDEX(Escaleta!$I$1:$I$504,R180))</f>
        <v/>
      </c>
      <c r="AB180" s="50">
        <f>IF(S180=0,"",INDEX(Escaleta!$I$1:$I$504,S180))</f>
        <v/>
      </c>
    </row>
    <row r="181" ht="18" customHeight="1">
      <c r="A181" s="48">
        <f>IF(A180="","",IF(A180+Configuración!$C$7/1440&gt;Configuración!$C$6-0.0001,"",A180+Configuración!$C$7/1440))</f>
        <v/>
      </c>
      <c r="B181" s="49">
        <f>IF(L181=0,"",IF(L181&lt;&gt;L180,INDEX(Escaleta!$F$1:$F$504,L181),IF(L181&lt;&gt;L179,TEXT(INDEX(Escaleta!$C$1:$C$504,L181),"hh:mm")&amp;"–"&amp;TEXT(INDEX(Escaleta!$E$1:$E$504,L181),"hh:mm"),"")))</f>
        <v/>
      </c>
      <c r="C181" s="49">
        <f>IF(M181=0,"",IF(M181&lt;&gt;M180,INDEX(Escaleta!$F$1:$F$504,M181),IF(M181&lt;&gt;M179,TEXT(INDEX(Escaleta!$C$1:$C$504,M181),"hh:mm")&amp;"–"&amp;TEXT(INDEX(Escaleta!$E$1:$E$504,M181),"hh:mm"),"")))</f>
        <v/>
      </c>
      <c r="D181" s="49">
        <f>IF(N181=0,"",IF(N181&lt;&gt;N180,INDEX(Escaleta!$F$1:$F$504,N181),IF(N181&lt;&gt;N179,TEXT(INDEX(Escaleta!$C$1:$C$504,N181),"hh:mm")&amp;"–"&amp;TEXT(INDEX(Escaleta!$E$1:$E$504,N181),"hh:mm"),"")))</f>
        <v/>
      </c>
      <c r="E181" s="49">
        <f>IF(O181=0,"",IF(O181&lt;&gt;O180,INDEX(Escaleta!$F$1:$F$504,O181),IF(O181&lt;&gt;O179,TEXT(INDEX(Escaleta!$C$1:$C$504,O181),"hh:mm")&amp;"–"&amp;TEXT(INDEX(Escaleta!$E$1:$E$504,O181),"hh:mm"),"")))</f>
        <v/>
      </c>
      <c r="F181" s="49">
        <f>IF(P181=0,"",IF(P181&lt;&gt;P180,INDEX(Escaleta!$F$1:$F$504,P181),IF(P181&lt;&gt;P179,TEXT(INDEX(Escaleta!$C$1:$C$504,P181),"hh:mm")&amp;"–"&amp;TEXT(INDEX(Escaleta!$E$1:$E$504,P181),"hh:mm"),"")))</f>
        <v/>
      </c>
      <c r="G181" s="49">
        <f>IF(Q181=0,"",IF(Q181&lt;&gt;Q180,INDEX(Escaleta!$F$1:$F$504,Q181),IF(Q181&lt;&gt;Q179,TEXT(INDEX(Escaleta!$C$1:$C$504,Q181),"hh:mm")&amp;"–"&amp;TEXT(INDEX(Escaleta!$E$1:$E$504,Q181),"hh:mm"),"")))</f>
        <v/>
      </c>
      <c r="H181" s="49">
        <f>IF(R181=0,"",IF(R181&lt;&gt;R180,INDEX(Escaleta!$F$1:$F$504,R181),IF(R181&lt;&gt;R179,TEXT(INDEX(Escaleta!$C$1:$C$504,R181),"hh:mm")&amp;"–"&amp;TEXT(INDEX(Escaleta!$E$1:$E$504,R181),"hh:mm"),"")))</f>
        <v/>
      </c>
      <c r="I181" s="49">
        <f>IF(S181=0,"",IF(S181&lt;&gt;S180,INDEX(Escaleta!$F$1:$F$504,S181),IF(S181&lt;&gt;S179,TEXT(INDEX(Escaleta!$C$1:$C$504,S181),"hh:mm")&amp;"–"&amp;TEXT(INDEX(Escaleta!$E$1:$E$504,S181),"hh:mm"),"")))</f>
        <v/>
      </c>
      <c r="L181" s="50">
        <f>IF(OR($A181="",B$6=""),0,SUMPRODUCT(MAX((Escaleta!$A$5:$A$504=$B$4)*(Escaleta!$H$5:$H$504=B$6)*(Escaleta!$K$5:$K$504&lt;&gt;"Cancelada")*(Escaleta!$C$5:$C$504&lt;$A181+Configuración!$C$7/1440)*(Escaleta!$E$5:$E$504&gt;$A181)*ROW(Escaleta!$A$5:$A$504))))</f>
        <v/>
      </c>
      <c r="M181" s="50">
        <f>IF(OR($A181="",C$6=""),0,SUMPRODUCT(MAX((Escaleta!$A$5:$A$504=$B$4)*(Escaleta!$H$5:$H$504=C$6)*(Escaleta!$K$5:$K$504&lt;&gt;"Cancelada")*(Escaleta!$C$5:$C$504&lt;$A181+Configuración!$C$7/1440)*(Escaleta!$E$5:$E$504&gt;$A181)*ROW(Escaleta!$A$5:$A$504))))</f>
        <v/>
      </c>
      <c r="N181" s="50">
        <f>IF(OR($A181="",D$6=""),0,SUMPRODUCT(MAX((Escaleta!$A$5:$A$504=$B$4)*(Escaleta!$H$5:$H$504=D$6)*(Escaleta!$K$5:$K$504&lt;&gt;"Cancelada")*(Escaleta!$C$5:$C$504&lt;$A181+Configuración!$C$7/1440)*(Escaleta!$E$5:$E$504&gt;$A181)*ROW(Escaleta!$A$5:$A$504))))</f>
        <v/>
      </c>
      <c r="O181" s="50">
        <f>IF(OR($A181="",E$6=""),0,SUMPRODUCT(MAX((Escaleta!$A$5:$A$504=$B$4)*(Escaleta!$H$5:$H$504=E$6)*(Escaleta!$K$5:$K$504&lt;&gt;"Cancelada")*(Escaleta!$C$5:$C$504&lt;$A181+Configuración!$C$7/1440)*(Escaleta!$E$5:$E$504&gt;$A181)*ROW(Escaleta!$A$5:$A$504))))</f>
        <v/>
      </c>
      <c r="P181" s="50">
        <f>IF(OR($A181="",F$6=""),0,SUMPRODUCT(MAX((Escaleta!$A$5:$A$504=$B$4)*(Escaleta!$H$5:$H$504=F$6)*(Escaleta!$K$5:$K$504&lt;&gt;"Cancelada")*(Escaleta!$C$5:$C$504&lt;$A181+Configuración!$C$7/1440)*(Escaleta!$E$5:$E$504&gt;$A181)*ROW(Escaleta!$A$5:$A$504))))</f>
        <v/>
      </c>
      <c r="Q181" s="50">
        <f>IF(OR($A181="",G$6=""),0,SUMPRODUCT(MAX((Escaleta!$A$5:$A$504=$B$4)*(Escaleta!$H$5:$H$504=G$6)*(Escaleta!$K$5:$K$504&lt;&gt;"Cancelada")*(Escaleta!$C$5:$C$504&lt;$A181+Configuración!$C$7/1440)*(Escaleta!$E$5:$E$504&gt;$A181)*ROW(Escaleta!$A$5:$A$504))))</f>
        <v/>
      </c>
      <c r="R181" s="50">
        <f>IF(OR($A181="",H$6=""),0,SUMPRODUCT(MAX((Escaleta!$A$5:$A$504=$B$4)*(Escaleta!$H$5:$H$504=H$6)*(Escaleta!$K$5:$K$504&lt;&gt;"Cancelada")*(Escaleta!$C$5:$C$504&lt;$A181+Configuración!$C$7/1440)*(Escaleta!$E$5:$E$504&gt;$A181)*ROW(Escaleta!$A$5:$A$504))))</f>
        <v/>
      </c>
      <c r="S181" s="50">
        <f>IF(OR($A181="",I$6=""),0,SUMPRODUCT(MAX((Escaleta!$A$5:$A$504=$B$4)*(Escaleta!$H$5:$H$504=I$6)*(Escaleta!$K$5:$K$504&lt;&gt;"Cancelada")*(Escaleta!$C$5:$C$504&lt;$A181+Configuración!$C$7/1440)*(Escaleta!$E$5:$E$504&gt;$A181)*ROW(Escaleta!$A$5:$A$504))))</f>
        <v/>
      </c>
      <c r="U181" s="50">
        <f>IF(L181=0,"",INDEX(Escaleta!$I$1:$I$504,L181))</f>
        <v/>
      </c>
      <c r="V181" s="50">
        <f>IF(M181=0,"",INDEX(Escaleta!$I$1:$I$504,M181))</f>
        <v/>
      </c>
      <c r="W181" s="50">
        <f>IF(N181=0,"",INDEX(Escaleta!$I$1:$I$504,N181))</f>
        <v/>
      </c>
      <c r="X181" s="50">
        <f>IF(O181=0,"",INDEX(Escaleta!$I$1:$I$504,O181))</f>
        <v/>
      </c>
      <c r="Y181" s="50">
        <f>IF(P181=0,"",INDEX(Escaleta!$I$1:$I$504,P181))</f>
        <v/>
      </c>
      <c r="Z181" s="50">
        <f>IF(Q181=0,"",INDEX(Escaleta!$I$1:$I$504,Q181))</f>
        <v/>
      </c>
      <c r="AA181" s="50">
        <f>IF(R181=0,"",INDEX(Escaleta!$I$1:$I$504,R181))</f>
        <v/>
      </c>
      <c r="AB181" s="50">
        <f>IF(S181=0,"",INDEX(Escaleta!$I$1:$I$504,S181))</f>
        <v/>
      </c>
    </row>
    <row r="182" ht="18" customHeight="1">
      <c r="A182" s="48">
        <f>IF(A181="","",IF(A181+Configuración!$C$7/1440&gt;Configuración!$C$6-0.0001,"",A181+Configuración!$C$7/1440))</f>
        <v/>
      </c>
      <c r="B182" s="49">
        <f>IF(L182=0,"",IF(L182&lt;&gt;L181,INDEX(Escaleta!$F$1:$F$504,L182),IF(L182&lt;&gt;L180,TEXT(INDEX(Escaleta!$C$1:$C$504,L182),"hh:mm")&amp;"–"&amp;TEXT(INDEX(Escaleta!$E$1:$E$504,L182),"hh:mm"),"")))</f>
        <v/>
      </c>
      <c r="C182" s="49">
        <f>IF(M182=0,"",IF(M182&lt;&gt;M181,INDEX(Escaleta!$F$1:$F$504,M182),IF(M182&lt;&gt;M180,TEXT(INDEX(Escaleta!$C$1:$C$504,M182),"hh:mm")&amp;"–"&amp;TEXT(INDEX(Escaleta!$E$1:$E$504,M182),"hh:mm"),"")))</f>
        <v/>
      </c>
      <c r="D182" s="49">
        <f>IF(N182=0,"",IF(N182&lt;&gt;N181,INDEX(Escaleta!$F$1:$F$504,N182),IF(N182&lt;&gt;N180,TEXT(INDEX(Escaleta!$C$1:$C$504,N182),"hh:mm")&amp;"–"&amp;TEXT(INDEX(Escaleta!$E$1:$E$504,N182),"hh:mm"),"")))</f>
        <v/>
      </c>
      <c r="E182" s="49">
        <f>IF(O182=0,"",IF(O182&lt;&gt;O181,INDEX(Escaleta!$F$1:$F$504,O182),IF(O182&lt;&gt;O180,TEXT(INDEX(Escaleta!$C$1:$C$504,O182),"hh:mm")&amp;"–"&amp;TEXT(INDEX(Escaleta!$E$1:$E$504,O182),"hh:mm"),"")))</f>
        <v/>
      </c>
      <c r="F182" s="49">
        <f>IF(P182=0,"",IF(P182&lt;&gt;P181,INDEX(Escaleta!$F$1:$F$504,P182),IF(P182&lt;&gt;P180,TEXT(INDEX(Escaleta!$C$1:$C$504,P182),"hh:mm")&amp;"–"&amp;TEXT(INDEX(Escaleta!$E$1:$E$504,P182),"hh:mm"),"")))</f>
        <v/>
      </c>
      <c r="G182" s="49">
        <f>IF(Q182=0,"",IF(Q182&lt;&gt;Q181,INDEX(Escaleta!$F$1:$F$504,Q182),IF(Q182&lt;&gt;Q180,TEXT(INDEX(Escaleta!$C$1:$C$504,Q182),"hh:mm")&amp;"–"&amp;TEXT(INDEX(Escaleta!$E$1:$E$504,Q182),"hh:mm"),"")))</f>
        <v/>
      </c>
      <c r="H182" s="49">
        <f>IF(R182=0,"",IF(R182&lt;&gt;R181,INDEX(Escaleta!$F$1:$F$504,R182),IF(R182&lt;&gt;R180,TEXT(INDEX(Escaleta!$C$1:$C$504,R182),"hh:mm")&amp;"–"&amp;TEXT(INDEX(Escaleta!$E$1:$E$504,R182),"hh:mm"),"")))</f>
        <v/>
      </c>
      <c r="I182" s="49">
        <f>IF(S182=0,"",IF(S182&lt;&gt;S181,INDEX(Escaleta!$F$1:$F$504,S182),IF(S182&lt;&gt;S180,TEXT(INDEX(Escaleta!$C$1:$C$504,S182),"hh:mm")&amp;"–"&amp;TEXT(INDEX(Escaleta!$E$1:$E$504,S182),"hh:mm"),"")))</f>
        <v/>
      </c>
      <c r="L182" s="50">
        <f>IF(OR($A182="",B$6=""),0,SUMPRODUCT(MAX((Escaleta!$A$5:$A$504=$B$4)*(Escaleta!$H$5:$H$504=B$6)*(Escaleta!$K$5:$K$504&lt;&gt;"Cancelada")*(Escaleta!$C$5:$C$504&lt;$A182+Configuración!$C$7/1440)*(Escaleta!$E$5:$E$504&gt;$A182)*ROW(Escaleta!$A$5:$A$504))))</f>
        <v/>
      </c>
      <c r="M182" s="50">
        <f>IF(OR($A182="",C$6=""),0,SUMPRODUCT(MAX((Escaleta!$A$5:$A$504=$B$4)*(Escaleta!$H$5:$H$504=C$6)*(Escaleta!$K$5:$K$504&lt;&gt;"Cancelada")*(Escaleta!$C$5:$C$504&lt;$A182+Configuración!$C$7/1440)*(Escaleta!$E$5:$E$504&gt;$A182)*ROW(Escaleta!$A$5:$A$504))))</f>
        <v/>
      </c>
      <c r="N182" s="50">
        <f>IF(OR($A182="",D$6=""),0,SUMPRODUCT(MAX((Escaleta!$A$5:$A$504=$B$4)*(Escaleta!$H$5:$H$504=D$6)*(Escaleta!$K$5:$K$504&lt;&gt;"Cancelada")*(Escaleta!$C$5:$C$504&lt;$A182+Configuración!$C$7/1440)*(Escaleta!$E$5:$E$504&gt;$A182)*ROW(Escaleta!$A$5:$A$504))))</f>
        <v/>
      </c>
      <c r="O182" s="50">
        <f>IF(OR($A182="",E$6=""),0,SUMPRODUCT(MAX((Escaleta!$A$5:$A$504=$B$4)*(Escaleta!$H$5:$H$504=E$6)*(Escaleta!$K$5:$K$504&lt;&gt;"Cancelada")*(Escaleta!$C$5:$C$504&lt;$A182+Configuración!$C$7/1440)*(Escaleta!$E$5:$E$504&gt;$A182)*ROW(Escaleta!$A$5:$A$504))))</f>
        <v/>
      </c>
      <c r="P182" s="50">
        <f>IF(OR($A182="",F$6=""),0,SUMPRODUCT(MAX((Escaleta!$A$5:$A$504=$B$4)*(Escaleta!$H$5:$H$504=F$6)*(Escaleta!$K$5:$K$504&lt;&gt;"Cancelada")*(Escaleta!$C$5:$C$504&lt;$A182+Configuración!$C$7/1440)*(Escaleta!$E$5:$E$504&gt;$A182)*ROW(Escaleta!$A$5:$A$504))))</f>
        <v/>
      </c>
      <c r="Q182" s="50">
        <f>IF(OR($A182="",G$6=""),0,SUMPRODUCT(MAX((Escaleta!$A$5:$A$504=$B$4)*(Escaleta!$H$5:$H$504=G$6)*(Escaleta!$K$5:$K$504&lt;&gt;"Cancelada")*(Escaleta!$C$5:$C$504&lt;$A182+Configuración!$C$7/1440)*(Escaleta!$E$5:$E$504&gt;$A182)*ROW(Escaleta!$A$5:$A$504))))</f>
        <v/>
      </c>
      <c r="R182" s="50">
        <f>IF(OR($A182="",H$6=""),0,SUMPRODUCT(MAX((Escaleta!$A$5:$A$504=$B$4)*(Escaleta!$H$5:$H$504=H$6)*(Escaleta!$K$5:$K$504&lt;&gt;"Cancelada")*(Escaleta!$C$5:$C$504&lt;$A182+Configuración!$C$7/1440)*(Escaleta!$E$5:$E$504&gt;$A182)*ROW(Escaleta!$A$5:$A$504))))</f>
        <v/>
      </c>
      <c r="S182" s="50">
        <f>IF(OR($A182="",I$6=""),0,SUMPRODUCT(MAX((Escaleta!$A$5:$A$504=$B$4)*(Escaleta!$H$5:$H$504=I$6)*(Escaleta!$K$5:$K$504&lt;&gt;"Cancelada")*(Escaleta!$C$5:$C$504&lt;$A182+Configuración!$C$7/1440)*(Escaleta!$E$5:$E$504&gt;$A182)*ROW(Escaleta!$A$5:$A$504))))</f>
        <v/>
      </c>
      <c r="U182" s="50">
        <f>IF(L182=0,"",INDEX(Escaleta!$I$1:$I$504,L182))</f>
        <v/>
      </c>
      <c r="V182" s="50">
        <f>IF(M182=0,"",INDEX(Escaleta!$I$1:$I$504,M182))</f>
        <v/>
      </c>
      <c r="W182" s="50">
        <f>IF(N182=0,"",INDEX(Escaleta!$I$1:$I$504,N182))</f>
        <v/>
      </c>
      <c r="X182" s="50">
        <f>IF(O182=0,"",INDEX(Escaleta!$I$1:$I$504,O182))</f>
        <v/>
      </c>
      <c r="Y182" s="50">
        <f>IF(P182=0,"",INDEX(Escaleta!$I$1:$I$504,P182))</f>
        <v/>
      </c>
      <c r="Z182" s="50">
        <f>IF(Q182=0,"",INDEX(Escaleta!$I$1:$I$504,Q182))</f>
        <v/>
      </c>
      <c r="AA182" s="50">
        <f>IF(R182=0,"",INDEX(Escaleta!$I$1:$I$504,R182))</f>
        <v/>
      </c>
      <c r="AB182" s="50">
        <f>IF(S182=0,"",INDEX(Escaleta!$I$1:$I$504,S182))</f>
        <v/>
      </c>
    </row>
    <row r="183" ht="18" customHeight="1">
      <c r="A183" s="48">
        <f>IF(A182="","",IF(A182+Configuración!$C$7/1440&gt;Configuración!$C$6-0.0001,"",A182+Configuración!$C$7/1440))</f>
        <v/>
      </c>
      <c r="B183" s="49">
        <f>IF(L183=0,"",IF(L183&lt;&gt;L182,INDEX(Escaleta!$F$1:$F$504,L183),IF(L183&lt;&gt;L181,TEXT(INDEX(Escaleta!$C$1:$C$504,L183),"hh:mm")&amp;"–"&amp;TEXT(INDEX(Escaleta!$E$1:$E$504,L183),"hh:mm"),"")))</f>
        <v/>
      </c>
      <c r="C183" s="49">
        <f>IF(M183=0,"",IF(M183&lt;&gt;M182,INDEX(Escaleta!$F$1:$F$504,M183),IF(M183&lt;&gt;M181,TEXT(INDEX(Escaleta!$C$1:$C$504,M183),"hh:mm")&amp;"–"&amp;TEXT(INDEX(Escaleta!$E$1:$E$504,M183),"hh:mm"),"")))</f>
        <v/>
      </c>
      <c r="D183" s="49">
        <f>IF(N183=0,"",IF(N183&lt;&gt;N182,INDEX(Escaleta!$F$1:$F$504,N183),IF(N183&lt;&gt;N181,TEXT(INDEX(Escaleta!$C$1:$C$504,N183),"hh:mm")&amp;"–"&amp;TEXT(INDEX(Escaleta!$E$1:$E$504,N183),"hh:mm"),"")))</f>
        <v/>
      </c>
      <c r="E183" s="49">
        <f>IF(O183=0,"",IF(O183&lt;&gt;O182,INDEX(Escaleta!$F$1:$F$504,O183),IF(O183&lt;&gt;O181,TEXT(INDEX(Escaleta!$C$1:$C$504,O183),"hh:mm")&amp;"–"&amp;TEXT(INDEX(Escaleta!$E$1:$E$504,O183),"hh:mm"),"")))</f>
        <v/>
      </c>
      <c r="F183" s="49">
        <f>IF(P183=0,"",IF(P183&lt;&gt;P182,INDEX(Escaleta!$F$1:$F$504,P183),IF(P183&lt;&gt;P181,TEXT(INDEX(Escaleta!$C$1:$C$504,P183),"hh:mm")&amp;"–"&amp;TEXT(INDEX(Escaleta!$E$1:$E$504,P183),"hh:mm"),"")))</f>
        <v/>
      </c>
      <c r="G183" s="49">
        <f>IF(Q183=0,"",IF(Q183&lt;&gt;Q182,INDEX(Escaleta!$F$1:$F$504,Q183),IF(Q183&lt;&gt;Q181,TEXT(INDEX(Escaleta!$C$1:$C$504,Q183),"hh:mm")&amp;"–"&amp;TEXT(INDEX(Escaleta!$E$1:$E$504,Q183),"hh:mm"),"")))</f>
        <v/>
      </c>
      <c r="H183" s="49">
        <f>IF(R183=0,"",IF(R183&lt;&gt;R182,INDEX(Escaleta!$F$1:$F$504,R183),IF(R183&lt;&gt;R181,TEXT(INDEX(Escaleta!$C$1:$C$504,R183),"hh:mm")&amp;"–"&amp;TEXT(INDEX(Escaleta!$E$1:$E$504,R183),"hh:mm"),"")))</f>
        <v/>
      </c>
      <c r="I183" s="49">
        <f>IF(S183=0,"",IF(S183&lt;&gt;S182,INDEX(Escaleta!$F$1:$F$504,S183),IF(S183&lt;&gt;S181,TEXT(INDEX(Escaleta!$C$1:$C$504,S183),"hh:mm")&amp;"–"&amp;TEXT(INDEX(Escaleta!$E$1:$E$504,S183),"hh:mm"),"")))</f>
        <v/>
      </c>
      <c r="L183" s="50">
        <f>IF(OR($A183="",B$6=""),0,SUMPRODUCT(MAX((Escaleta!$A$5:$A$504=$B$4)*(Escaleta!$H$5:$H$504=B$6)*(Escaleta!$K$5:$K$504&lt;&gt;"Cancelada")*(Escaleta!$C$5:$C$504&lt;$A183+Configuración!$C$7/1440)*(Escaleta!$E$5:$E$504&gt;$A183)*ROW(Escaleta!$A$5:$A$504))))</f>
        <v/>
      </c>
      <c r="M183" s="50">
        <f>IF(OR($A183="",C$6=""),0,SUMPRODUCT(MAX((Escaleta!$A$5:$A$504=$B$4)*(Escaleta!$H$5:$H$504=C$6)*(Escaleta!$K$5:$K$504&lt;&gt;"Cancelada")*(Escaleta!$C$5:$C$504&lt;$A183+Configuración!$C$7/1440)*(Escaleta!$E$5:$E$504&gt;$A183)*ROW(Escaleta!$A$5:$A$504))))</f>
        <v/>
      </c>
      <c r="N183" s="50">
        <f>IF(OR($A183="",D$6=""),0,SUMPRODUCT(MAX((Escaleta!$A$5:$A$504=$B$4)*(Escaleta!$H$5:$H$504=D$6)*(Escaleta!$K$5:$K$504&lt;&gt;"Cancelada")*(Escaleta!$C$5:$C$504&lt;$A183+Configuración!$C$7/1440)*(Escaleta!$E$5:$E$504&gt;$A183)*ROW(Escaleta!$A$5:$A$504))))</f>
        <v/>
      </c>
      <c r="O183" s="50">
        <f>IF(OR($A183="",E$6=""),0,SUMPRODUCT(MAX((Escaleta!$A$5:$A$504=$B$4)*(Escaleta!$H$5:$H$504=E$6)*(Escaleta!$K$5:$K$504&lt;&gt;"Cancelada")*(Escaleta!$C$5:$C$504&lt;$A183+Configuración!$C$7/1440)*(Escaleta!$E$5:$E$504&gt;$A183)*ROW(Escaleta!$A$5:$A$504))))</f>
        <v/>
      </c>
      <c r="P183" s="50">
        <f>IF(OR($A183="",F$6=""),0,SUMPRODUCT(MAX((Escaleta!$A$5:$A$504=$B$4)*(Escaleta!$H$5:$H$504=F$6)*(Escaleta!$K$5:$K$504&lt;&gt;"Cancelada")*(Escaleta!$C$5:$C$504&lt;$A183+Configuración!$C$7/1440)*(Escaleta!$E$5:$E$504&gt;$A183)*ROW(Escaleta!$A$5:$A$504))))</f>
        <v/>
      </c>
      <c r="Q183" s="50">
        <f>IF(OR($A183="",G$6=""),0,SUMPRODUCT(MAX((Escaleta!$A$5:$A$504=$B$4)*(Escaleta!$H$5:$H$504=G$6)*(Escaleta!$K$5:$K$504&lt;&gt;"Cancelada")*(Escaleta!$C$5:$C$504&lt;$A183+Configuración!$C$7/1440)*(Escaleta!$E$5:$E$504&gt;$A183)*ROW(Escaleta!$A$5:$A$504))))</f>
        <v/>
      </c>
      <c r="R183" s="50">
        <f>IF(OR($A183="",H$6=""),0,SUMPRODUCT(MAX((Escaleta!$A$5:$A$504=$B$4)*(Escaleta!$H$5:$H$504=H$6)*(Escaleta!$K$5:$K$504&lt;&gt;"Cancelada")*(Escaleta!$C$5:$C$504&lt;$A183+Configuración!$C$7/1440)*(Escaleta!$E$5:$E$504&gt;$A183)*ROW(Escaleta!$A$5:$A$504))))</f>
        <v/>
      </c>
      <c r="S183" s="50">
        <f>IF(OR($A183="",I$6=""),0,SUMPRODUCT(MAX((Escaleta!$A$5:$A$504=$B$4)*(Escaleta!$H$5:$H$504=I$6)*(Escaleta!$K$5:$K$504&lt;&gt;"Cancelada")*(Escaleta!$C$5:$C$504&lt;$A183+Configuración!$C$7/1440)*(Escaleta!$E$5:$E$504&gt;$A183)*ROW(Escaleta!$A$5:$A$504))))</f>
        <v/>
      </c>
      <c r="U183" s="50">
        <f>IF(L183=0,"",INDEX(Escaleta!$I$1:$I$504,L183))</f>
        <v/>
      </c>
      <c r="V183" s="50">
        <f>IF(M183=0,"",INDEX(Escaleta!$I$1:$I$504,M183))</f>
        <v/>
      </c>
      <c r="W183" s="50">
        <f>IF(N183=0,"",INDEX(Escaleta!$I$1:$I$504,N183))</f>
        <v/>
      </c>
      <c r="X183" s="50">
        <f>IF(O183=0,"",INDEX(Escaleta!$I$1:$I$504,O183))</f>
        <v/>
      </c>
      <c r="Y183" s="50">
        <f>IF(P183=0,"",INDEX(Escaleta!$I$1:$I$504,P183))</f>
        <v/>
      </c>
      <c r="Z183" s="50">
        <f>IF(Q183=0,"",INDEX(Escaleta!$I$1:$I$504,Q183))</f>
        <v/>
      </c>
      <c r="AA183" s="50">
        <f>IF(R183=0,"",INDEX(Escaleta!$I$1:$I$504,R183))</f>
        <v/>
      </c>
      <c r="AB183" s="50">
        <f>IF(S183=0,"",INDEX(Escaleta!$I$1:$I$504,S183))</f>
        <v/>
      </c>
    </row>
    <row r="184" ht="18" customHeight="1">
      <c r="A184" s="48">
        <f>IF(A183="","",IF(A183+Configuración!$C$7/1440&gt;Configuración!$C$6-0.0001,"",A183+Configuración!$C$7/1440))</f>
        <v/>
      </c>
      <c r="B184" s="49">
        <f>IF(L184=0,"",IF(L184&lt;&gt;L183,INDEX(Escaleta!$F$1:$F$504,L184),IF(L184&lt;&gt;L182,TEXT(INDEX(Escaleta!$C$1:$C$504,L184),"hh:mm")&amp;"–"&amp;TEXT(INDEX(Escaleta!$E$1:$E$504,L184),"hh:mm"),"")))</f>
        <v/>
      </c>
      <c r="C184" s="49">
        <f>IF(M184=0,"",IF(M184&lt;&gt;M183,INDEX(Escaleta!$F$1:$F$504,M184),IF(M184&lt;&gt;M182,TEXT(INDEX(Escaleta!$C$1:$C$504,M184),"hh:mm")&amp;"–"&amp;TEXT(INDEX(Escaleta!$E$1:$E$504,M184),"hh:mm"),"")))</f>
        <v/>
      </c>
      <c r="D184" s="49">
        <f>IF(N184=0,"",IF(N184&lt;&gt;N183,INDEX(Escaleta!$F$1:$F$504,N184),IF(N184&lt;&gt;N182,TEXT(INDEX(Escaleta!$C$1:$C$504,N184),"hh:mm")&amp;"–"&amp;TEXT(INDEX(Escaleta!$E$1:$E$504,N184),"hh:mm"),"")))</f>
        <v/>
      </c>
      <c r="E184" s="49">
        <f>IF(O184=0,"",IF(O184&lt;&gt;O183,INDEX(Escaleta!$F$1:$F$504,O184),IF(O184&lt;&gt;O182,TEXT(INDEX(Escaleta!$C$1:$C$504,O184),"hh:mm")&amp;"–"&amp;TEXT(INDEX(Escaleta!$E$1:$E$504,O184),"hh:mm"),"")))</f>
        <v/>
      </c>
      <c r="F184" s="49">
        <f>IF(P184=0,"",IF(P184&lt;&gt;P183,INDEX(Escaleta!$F$1:$F$504,P184),IF(P184&lt;&gt;P182,TEXT(INDEX(Escaleta!$C$1:$C$504,P184),"hh:mm")&amp;"–"&amp;TEXT(INDEX(Escaleta!$E$1:$E$504,P184),"hh:mm"),"")))</f>
        <v/>
      </c>
      <c r="G184" s="49">
        <f>IF(Q184=0,"",IF(Q184&lt;&gt;Q183,INDEX(Escaleta!$F$1:$F$504,Q184),IF(Q184&lt;&gt;Q182,TEXT(INDEX(Escaleta!$C$1:$C$504,Q184),"hh:mm")&amp;"–"&amp;TEXT(INDEX(Escaleta!$E$1:$E$504,Q184),"hh:mm"),"")))</f>
        <v/>
      </c>
      <c r="H184" s="49">
        <f>IF(R184=0,"",IF(R184&lt;&gt;R183,INDEX(Escaleta!$F$1:$F$504,R184),IF(R184&lt;&gt;R182,TEXT(INDEX(Escaleta!$C$1:$C$504,R184),"hh:mm")&amp;"–"&amp;TEXT(INDEX(Escaleta!$E$1:$E$504,R184),"hh:mm"),"")))</f>
        <v/>
      </c>
      <c r="I184" s="49">
        <f>IF(S184=0,"",IF(S184&lt;&gt;S183,INDEX(Escaleta!$F$1:$F$504,S184),IF(S184&lt;&gt;S182,TEXT(INDEX(Escaleta!$C$1:$C$504,S184),"hh:mm")&amp;"–"&amp;TEXT(INDEX(Escaleta!$E$1:$E$504,S184),"hh:mm"),"")))</f>
        <v/>
      </c>
      <c r="L184" s="50">
        <f>IF(OR($A184="",B$6=""),0,SUMPRODUCT(MAX((Escaleta!$A$5:$A$504=$B$4)*(Escaleta!$H$5:$H$504=B$6)*(Escaleta!$K$5:$K$504&lt;&gt;"Cancelada")*(Escaleta!$C$5:$C$504&lt;$A184+Configuración!$C$7/1440)*(Escaleta!$E$5:$E$504&gt;$A184)*ROW(Escaleta!$A$5:$A$504))))</f>
        <v/>
      </c>
      <c r="M184" s="50">
        <f>IF(OR($A184="",C$6=""),0,SUMPRODUCT(MAX((Escaleta!$A$5:$A$504=$B$4)*(Escaleta!$H$5:$H$504=C$6)*(Escaleta!$K$5:$K$504&lt;&gt;"Cancelada")*(Escaleta!$C$5:$C$504&lt;$A184+Configuración!$C$7/1440)*(Escaleta!$E$5:$E$504&gt;$A184)*ROW(Escaleta!$A$5:$A$504))))</f>
        <v/>
      </c>
      <c r="N184" s="50">
        <f>IF(OR($A184="",D$6=""),0,SUMPRODUCT(MAX((Escaleta!$A$5:$A$504=$B$4)*(Escaleta!$H$5:$H$504=D$6)*(Escaleta!$K$5:$K$504&lt;&gt;"Cancelada")*(Escaleta!$C$5:$C$504&lt;$A184+Configuración!$C$7/1440)*(Escaleta!$E$5:$E$504&gt;$A184)*ROW(Escaleta!$A$5:$A$504))))</f>
        <v/>
      </c>
      <c r="O184" s="50">
        <f>IF(OR($A184="",E$6=""),0,SUMPRODUCT(MAX((Escaleta!$A$5:$A$504=$B$4)*(Escaleta!$H$5:$H$504=E$6)*(Escaleta!$K$5:$K$504&lt;&gt;"Cancelada")*(Escaleta!$C$5:$C$504&lt;$A184+Configuración!$C$7/1440)*(Escaleta!$E$5:$E$504&gt;$A184)*ROW(Escaleta!$A$5:$A$504))))</f>
        <v/>
      </c>
      <c r="P184" s="50">
        <f>IF(OR($A184="",F$6=""),0,SUMPRODUCT(MAX((Escaleta!$A$5:$A$504=$B$4)*(Escaleta!$H$5:$H$504=F$6)*(Escaleta!$K$5:$K$504&lt;&gt;"Cancelada")*(Escaleta!$C$5:$C$504&lt;$A184+Configuración!$C$7/1440)*(Escaleta!$E$5:$E$504&gt;$A184)*ROW(Escaleta!$A$5:$A$504))))</f>
        <v/>
      </c>
      <c r="Q184" s="50">
        <f>IF(OR($A184="",G$6=""),0,SUMPRODUCT(MAX((Escaleta!$A$5:$A$504=$B$4)*(Escaleta!$H$5:$H$504=G$6)*(Escaleta!$K$5:$K$504&lt;&gt;"Cancelada")*(Escaleta!$C$5:$C$504&lt;$A184+Configuración!$C$7/1440)*(Escaleta!$E$5:$E$504&gt;$A184)*ROW(Escaleta!$A$5:$A$504))))</f>
        <v/>
      </c>
      <c r="R184" s="50">
        <f>IF(OR($A184="",H$6=""),0,SUMPRODUCT(MAX((Escaleta!$A$5:$A$504=$B$4)*(Escaleta!$H$5:$H$504=H$6)*(Escaleta!$K$5:$K$504&lt;&gt;"Cancelada")*(Escaleta!$C$5:$C$504&lt;$A184+Configuración!$C$7/1440)*(Escaleta!$E$5:$E$504&gt;$A184)*ROW(Escaleta!$A$5:$A$504))))</f>
        <v/>
      </c>
      <c r="S184" s="50">
        <f>IF(OR($A184="",I$6=""),0,SUMPRODUCT(MAX((Escaleta!$A$5:$A$504=$B$4)*(Escaleta!$H$5:$H$504=I$6)*(Escaleta!$K$5:$K$504&lt;&gt;"Cancelada")*(Escaleta!$C$5:$C$504&lt;$A184+Configuración!$C$7/1440)*(Escaleta!$E$5:$E$504&gt;$A184)*ROW(Escaleta!$A$5:$A$504))))</f>
        <v/>
      </c>
      <c r="U184" s="50">
        <f>IF(L184=0,"",INDEX(Escaleta!$I$1:$I$504,L184))</f>
        <v/>
      </c>
      <c r="V184" s="50">
        <f>IF(M184=0,"",INDEX(Escaleta!$I$1:$I$504,M184))</f>
        <v/>
      </c>
      <c r="W184" s="50">
        <f>IF(N184=0,"",INDEX(Escaleta!$I$1:$I$504,N184))</f>
        <v/>
      </c>
      <c r="X184" s="50">
        <f>IF(O184=0,"",INDEX(Escaleta!$I$1:$I$504,O184))</f>
        <v/>
      </c>
      <c r="Y184" s="50">
        <f>IF(P184=0,"",INDEX(Escaleta!$I$1:$I$504,P184))</f>
        <v/>
      </c>
      <c r="Z184" s="50">
        <f>IF(Q184=0,"",INDEX(Escaleta!$I$1:$I$504,Q184))</f>
        <v/>
      </c>
      <c r="AA184" s="50">
        <f>IF(R184=0,"",INDEX(Escaleta!$I$1:$I$504,R184))</f>
        <v/>
      </c>
      <c r="AB184" s="50">
        <f>IF(S184=0,"",INDEX(Escaleta!$I$1:$I$504,S184))</f>
        <v/>
      </c>
    </row>
    <row r="185" ht="18" customHeight="1">
      <c r="A185" s="48">
        <f>IF(A184="","",IF(A184+Configuración!$C$7/1440&gt;Configuración!$C$6-0.0001,"",A184+Configuración!$C$7/1440))</f>
        <v/>
      </c>
      <c r="B185" s="49">
        <f>IF(L185=0,"",IF(L185&lt;&gt;L184,INDEX(Escaleta!$F$1:$F$504,L185),IF(L185&lt;&gt;L183,TEXT(INDEX(Escaleta!$C$1:$C$504,L185),"hh:mm")&amp;"–"&amp;TEXT(INDEX(Escaleta!$E$1:$E$504,L185),"hh:mm"),"")))</f>
        <v/>
      </c>
      <c r="C185" s="49">
        <f>IF(M185=0,"",IF(M185&lt;&gt;M184,INDEX(Escaleta!$F$1:$F$504,M185),IF(M185&lt;&gt;M183,TEXT(INDEX(Escaleta!$C$1:$C$504,M185),"hh:mm")&amp;"–"&amp;TEXT(INDEX(Escaleta!$E$1:$E$504,M185),"hh:mm"),"")))</f>
        <v/>
      </c>
      <c r="D185" s="49">
        <f>IF(N185=0,"",IF(N185&lt;&gt;N184,INDEX(Escaleta!$F$1:$F$504,N185),IF(N185&lt;&gt;N183,TEXT(INDEX(Escaleta!$C$1:$C$504,N185),"hh:mm")&amp;"–"&amp;TEXT(INDEX(Escaleta!$E$1:$E$504,N185),"hh:mm"),"")))</f>
        <v/>
      </c>
      <c r="E185" s="49">
        <f>IF(O185=0,"",IF(O185&lt;&gt;O184,INDEX(Escaleta!$F$1:$F$504,O185),IF(O185&lt;&gt;O183,TEXT(INDEX(Escaleta!$C$1:$C$504,O185),"hh:mm")&amp;"–"&amp;TEXT(INDEX(Escaleta!$E$1:$E$504,O185),"hh:mm"),"")))</f>
        <v/>
      </c>
      <c r="F185" s="49">
        <f>IF(P185=0,"",IF(P185&lt;&gt;P184,INDEX(Escaleta!$F$1:$F$504,P185),IF(P185&lt;&gt;P183,TEXT(INDEX(Escaleta!$C$1:$C$504,P185),"hh:mm")&amp;"–"&amp;TEXT(INDEX(Escaleta!$E$1:$E$504,P185),"hh:mm"),"")))</f>
        <v/>
      </c>
      <c r="G185" s="49">
        <f>IF(Q185=0,"",IF(Q185&lt;&gt;Q184,INDEX(Escaleta!$F$1:$F$504,Q185),IF(Q185&lt;&gt;Q183,TEXT(INDEX(Escaleta!$C$1:$C$504,Q185),"hh:mm")&amp;"–"&amp;TEXT(INDEX(Escaleta!$E$1:$E$504,Q185),"hh:mm"),"")))</f>
        <v/>
      </c>
      <c r="H185" s="49">
        <f>IF(R185=0,"",IF(R185&lt;&gt;R184,INDEX(Escaleta!$F$1:$F$504,R185),IF(R185&lt;&gt;R183,TEXT(INDEX(Escaleta!$C$1:$C$504,R185),"hh:mm")&amp;"–"&amp;TEXT(INDEX(Escaleta!$E$1:$E$504,R185),"hh:mm"),"")))</f>
        <v/>
      </c>
      <c r="I185" s="49">
        <f>IF(S185=0,"",IF(S185&lt;&gt;S184,INDEX(Escaleta!$F$1:$F$504,S185),IF(S185&lt;&gt;S183,TEXT(INDEX(Escaleta!$C$1:$C$504,S185),"hh:mm")&amp;"–"&amp;TEXT(INDEX(Escaleta!$E$1:$E$504,S185),"hh:mm"),"")))</f>
        <v/>
      </c>
      <c r="L185" s="50">
        <f>IF(OR($A185="",B$6=""),0,SUMPRODUCT(MAX((Escaleta!$A$5:$A$504=$B$4)*(Escaleta!$H$5:$H$504=B$6)*(Escaleta!$K$5:$K$504&lt;&gt;"Cancelada")*(Escaleta!$C$5:$C$504&lt;$A185+Configuración!$C$7/1440)*(Escaleta!$E$5:$E$504&gt;$A185)*ROW(Escaleta!$A$5:$A$504))))</f>
        <v/>
      </c>
      <c r="M185" s="50">
        <f>IF(OR($A185="",C$6=""),0,SUMPRODUCT(MAX((Escaleta!$A$5:$A$504=$B$4)*(Escaleta!$H$5:$H$504=C$6)*(Escaleta!$K$5:$K$504&lt;&gt;"Cancelada")*(Escaleta!$C$5:$C$504&lt;$A185+Configuración!$C$7/1440)*(Escaleta!$E$5:$E$504&gt;$A185)*ROW(Escaleta!$A$5:$A$504))))</f>
        <v/>
      </c>
      <c r="N185" s="50">
        <f>IF(OR($A185="",D$6=""),0,SUMPRODUCT(MAX((Escaleta!$A$5:$A$504=$B$4)*(Escaleta!$H$5:$H$504=D$6)*(Escaleta!$K$5:$K$504&lt;&gt;"Cancelada")*(Escaleta!$C$5:$C$504&lt;$A185+Configuración!$C$7/1440)*(Escaleta!$E$5:$E$504&gt;$A185)*ROW(Escaleta!$A$5:$A$504))))</f>
        <v/>
      </c>
      <c r="O185" s="50">
        <f>IF(OR($A185="",E$6=""),0,SUMPRODUCT(MAX((Escaleta!$A$5:$A$504=$B$4)*(Escaleta!$H$5:$H$504=E$6)*(Escaleta!$K$5:$K$504&lt;&gt;"Cancelada")*(Escaleta!$C$5:$C$504&lt;$A185+Configuración!$C$7/1440)*(Escaleta!$E$5:$E$504&gt;$A185)*ROW(Escaleta!$A$5:$A$504))))</f>
        <v/>
      </c>
      <c r="P185" s="50">
        <f>IF(OR($A185="",F$6=""),0,SUMPRODUCT(MAX((Escaleta!$A$5:$A$504=$B$4)*(Escaleta!$H$5:$H$504=F$6)*(Escaleta!$K$5:$K$504&lt;&gt;"Cancelada")*(Escaleta!$C$5:$C$504&lt;$A185+Configuración!$C$7/1440)*(Escaleta!$E$5:$E$504&gt;$A185)*ROW(Escaleta!$A$5:$A$504))))</f>
        <v/>
      </c>
      <c r="Q185" s="50">
        <f>IF(OR($A185="",G$6=""),0,SUMPRODUCT(MAX((Escaleta!$A$5:$A$504=$B$4)*(Escaleta!$H$5:$H$504=G$6)*(Escaleta!$K$5:$K$504&lt;&gt;"Cancelada")*(Escaleta!$C$5:$C$504&lt;$A185+Configuración!$C$7/1440)*(Escaleta!$E$5:$E$504&gt;$A185)*ROW(Escaleta!$A$5:$A$504))))</f>
        <v/>
      </c>
      <c r="R185" s="50">
        <f>IF(OR($A185="",H$6=""),0,SUMPRODUCT(MAX((Escaleta!$A$5:$A$504=$B$4)*(Escaleta!$H$5:$H$504=H$6)*(Escaleta!$K$5:$K$504&lt;&gt;"Cancelada")*(Escaleta!$C$5:$C$504&lt;$A185+Configuración!$C$7/1440)*(Escaleta!$E$5:$E$504&gt;$A185)*ROW(Escaleta!$A$5:$A$504))))</f>
        <v/>
      </c>
      <c r="S185" s="50">
        <f>IF(OR($A185="",I$6=""),0,SUMPRODUCT(MAX((Escaleta!$A$5:$A$504=$B$4)*(Escaleta!$H$5:$H$504=I$6)*(Escaleta!$K$5:$K$504&lt;&gt;"Cancelada")*(Escaleta!$C$5:$C$504&lt;$A185+Configuración!$C$7/1440)*(Escaleta!$E$5:$E$504&gt;$A185)*ROW(Escaleta!$A$5:$A$504))))</f>
        <v/>
      </c>
      <c r="U185" s="50">
        <f>IF(L185=0,"",INDEX(Escaleta!$I$1:$I$504,L185))</f>
        <v/>
      </c>
      <c r="V185" s="50">
        <f>IF(M185=0,"",INDEX(Escaleta!$I$1:$I$504,M185))</f>
        <v/>
      </c>
      <c r="W185" s="50">
        <f>IF(N185=0,"",INDEX(Escaleta!$I$1:$I$504,N185))</f>
        <v/>
      </c>
      <c r="X185" s="50">
        <f>IF(O185=0,"",INDEX(Escaleta!$I$1:$I$504,O185))</f>
        <v/>
      </c>
      <c r="Y185" s="50">
        <f>IF(P185=0,"",INDEX(Escaleta!$I$1:$I$504,P185))</f>
        <v/>
      </c>
      <c r="Z185" s="50">
        <f>IF(Q185=0,"",INDEX(Escaleta!$I$1:$I$504,Q185))</f>
        <v/>
      </c>
      <c r="AA185" s="50">
        <f>IF(R185=0,"",INDEX(Escaleta!$I$1:$I$504,R185))</f>
        <v/>
      </c>
      <c r="AB185" s="50">
        <f>IF(S185=0,"",INDEX(Escaleta!$I$1:$I$504,S185))</f>
        <v/>
      </c>
    </row>
    <row r="186" ht="18" customHeight="1">
      <c r="A186" s="48">
        <f>IF(A185="","",IF(A185+Configuración!$C$7/1440&gt;Configuración!$C$6-0.0001,"",A185+Configuración!$C$7/1440))</f>
        <v/>
      </c>
      <c r="B186" s="49">
        <f>IF(L186=0,"",IF(L186&lt;&gt;L185,INDEX(Escaleta!$F$1:$F$504,L186),IF(L186&lt;&gt;L184,TEXT(INDEX(Escaleta!$C$1:$C$504,L186),"hh:mm")&amp;"–"&amp;TEXT(INDEX(Escaleta!$E$1:$E$504,L186),"hh:mm"),"")))</f>
        <v/>
      </c>
      <c r="C186" s="49">
        <f>IF(M186=0,"",IF(M186&lt;&gt;M185,INDEX(Escaleta!$F$1:$F$504,M186),IF(M186&lt;&gt;M184,TEXT(INDEX(Escaleta!$C$1:$C$504,M186),"hh:mm")&amp;"–"&amp;TEXT(INDEX(Escaleta!$E$1:$E$504,M186),"hh:mm"),"")))</f>
        <v/>
      </c>
      <c r="D186" s="49">
        <f>IF(N186=0,"",IF(N186&lt;&gt;N185,INDEX(Escaleta!$F$1:$F$504,N186),IF(N186&lt;&gt;N184,TEXT(INDEX(Escaleta!$C$1:$C$504,N186),"hh:mm")&amp;"–"&amp;TEXT(INDEX(Escaleta!$E$1:$E$504,N186),"hh:mm"),"")))</f>
        <v/>
      </c>
      <c r="E186" s="49">
        <f>IF(O186=0,"",IF(O186&lt;&gt;O185,INDEX(Escaleta!$F$1:$F$504,O186),IF(O186&lt;&gt;O184,TEXT(INDEX(Escaleta!$C$1:$C$504,O186),"hh:mm")&amp;"–"&amp;TEXT(INDEX(Escaleta!$E$1:$E$504,O186),"hh:mm"),"")))</f>
        <v/>
      </c>
      <c r="F186" s="49">
        <f>IF(P186=0,"",IF(P186&lt;&gt;P185,INDEX(Escaleta!$F$1:$F$504,P186),IF(P186&lt;&gt;P184,TEXT(INDEX(Escaleta!$C$1:$C$504,P186),"hh:mm")&amp;"–"&amp;TEXT(INDEX(Escaleta!$E$1:$E$504,P186),"hh:mm"),"")))</f>
        <v/>
      </c>
      <c r="G186" s="49">
        <f>IF(Q186=0,"",IF(Q186&lt;&gt;Q185,INDEX(Escaleta!$F$1:$F$504,Q186),IF(Q186&lt;&gt;Q184,TEXT(INDEX(Escaleta!$C$1:$C$504,Q186),"hh:mm")&amp;"–"&amp;TEXT(INDEX(Escaleta!$E$1:$E$504,Q186),"hh:mm"),"")))</f>
        <v/>
      </c>
      <c r="H186" s="49">
        <f>IF(R186=0,"",IF(R186&lt;&gt;R185,INDEX(Escaleta!$F$1:$F$504,R186),IF(R186&lt;&gt;R184,TEXT(INDEX(Escaleta!$C$1:$C$504,R186),"hh:mm")&amp;"–"&amp;TEXT(INDEX(Escaleta!$E$1:$E$504,R186),"hh:mm"),"")))</f>
        <v/>
      </c>
      <c r="I186" s="49">
        <f>IF(S186=0,"",IF(S186&lt;&gt;S185,INDEX(Escaleta!$F$1:$F$504,S186),IF(S186&lt;&gt;S184,TEXT(INDEX(Escaleta!$C$1:$C$504,S186),"hh:mm")&amp;"–"&amp;TEXT(INDEX(Escaleta!$E$1:$E$504,S186),"hh:mm"),"")))</f>
        <v/>
      </c>
      <c r="L186" s="50">
        <f>IF(OR($A186="",B$6=""),0,SUMPRODUCT(MAX((Escaleta!$A$5:$A$504=$B$4)*(Escaleta!$H$5:$H$504=B$6)*(Escaleta!$K$5:$K$504&lt;&gt;"Cancelada")*(Escaleta!$C$5:$C$504&lt;$A186+Configuración!$C$7/1440)*(Escaleta!$E$5:$E$504&gt;$A186)*ROW(Escaleta!$A$5:$A$504))))</f>
        <v/>
      </c>
      <c r="M186" s="50">
        <f>IF(OR($A186="",C$6=""),0,SUMPRODUCT(MAX((Escaleta!$A$5:$A$504=$B$4)*(Escaleta!$H$5:$H$504=C$6)*(Escaleta!$K$5:$K$504&lt;&gt;"Cancelada")*(Escaleta!$C$5:$C$504&lt;$A186+Configuración!$C$7/1440)*(Escaleta!$E$5:$E$504&gt;$A186)*ROW(Escaleta!$A$5:$A$504))))</f>
        <v/>
      </c>
      <c r="N186" s="50">
        <f>IF(OR($A186="",D$6=""),0,SUMPRODUCT(MAX((Escaleta!$A$5:$A$504=$B$4)*(Escaleta!$H$5:$H$504=D$6)*(Escaleta!$K$5:$K$504&lt;&gt;"Cancelada")*(Escaleta!$C$5:$C$504&lt;$A186+Configuración!$C$7/1440)*(Escaleta!$E$5:$E$504&gt;$A186)*ROW(Escaleta!$A$5:$A$504))))</f>
        <v/>
      </c>
      <c r="O186" s="50">
        <f>IF(OR($A186="",E$6=""),0,SUMPRODUCT(MAX((Escaleta!$A$5:$A$504=$B$4)*(Escaleta!$H$5:$H$504=E$6)*(Escaleta!$K$5:$K$504&lt;&gt;"Cancelada")*(Escaleta!$C$5:$C$504&lt;$A186+Configuración!$C$7/1440)*(Escaleta!$E$5:$E$504&gt;$A186)*ROW(Escaleta!$A$5:$A$504))))</f>
        <v/>
      </c>
      <c r="P186" s="50">
        <f>IF(OR($A186="",F$6=""),0,SUMPRODUCT(MAX((Escaleta!$A$5:$A$504=$B$4)*(Escaleta!$H$5:$H$504=F$6)*(Escaleta!$K$5:$K$504&lt;&gt;"Cancelada")*(Escaleta!$C$5:$C$504&lt;$A186+Configuración!$C$7/1440)*(Escaleta!$E$5:$E$504&gt;$A186)*ROW(Escaleta!$A$5:$A$504))))</f>
        <v/>
      </c>
      <c r="Q186" s="50">
        <f>IF(OR($A186="",G$6=""),0,SUMPRODUCT(MAX((Escaleta!$A$5:$A$504=$B$4)*(Escaleta!$H$5:$H$504=G$6)*(Escaleta!$K$5:$K$504&lt;&gt;"Cancelada")*(Escaleta!$C$5:$C$504&lt;$A186+Configuración!$C$7/1440)*(Escaleta!$E$5:$E$504&gt;$A186)*ROW(Escaleta!$A$5:$A$504))))</f>
        <v/>
      </c>
      <c r="R186" s="50">
        <f>IF(OR($A186="",H$6=""),0,SUMPRODUCT(MAX((Escaleta!$A$5:$A$504=$B$4)*(Escaleta!$H$5:$H$504=H$6)*(Escaleta!$K$5:$K$504&lt;&gt;"Cancelada")*(Escaleta!$C$5:$C$504&lt;$A186+Configuración!$C$7/1440)*(Escaleta!$E$5:$E$504&gt;$A186)*ROW(Escaleta!$A$5:$A$504))))</f>
        <v/>
      </c>
      <c r="S186" s="50">
        <f>IF(OR($A186="",I$6=""),0,SUMPRODUCT(MAX((Escaleta!$A$5:$A$504=$B$4)*(Escaleta!$H$5:$H$504=I$6)*(Escaleta!$K$5:$K$504&lt;&gt;"Cancelada")*(Escaleta!$C$5:$C$504&lt;$A186+Configuración!$C$7/1440)*(Escaleta!$E$5:$E$504&gt;$A186)*ROW(Escaleta!$A$5:$A$504))))</f>
        <v/>
      </c>
      <c r="U186" s="50">
        <f>IF(L186=0,"",INDEX(Escaleta!$I$1:$I$504,L186))</f>
        <v/>
      </c>
      <c r="V186" s="50">
        <f>IF(M186=0,"",INDEX(Escaleta!$I$1:$I$504,M186))</f>
        <v/>
      </c>
      <c r="W186" s="50">
        <f>IF(N186=0,"",INDEX(Escaleta!$I$1:$I$504,N186))</f>
        <v/>
      </c>
      <c r="X186" s="50">
        <f>IF(O186=0,"",INDEX(Escaleta!$I$1:$I$504,O186))</f>
        <v/>
      </c>
      <c r="Y186" s="50">
        <f>IF(P186=0,"",INDEX(Escaleta!$I$1:$I$504,P186))</f>
        <v/>
      </c>
      <c r="Z186" s="50">
        <f>IF(Q186=0,"",INDEX(Escaleta!$I$1:$I$504,Q186))</f>
        <v/>
      </c>
      <c r="AA186" s="50">
        <f>IF(R186=0,"",INDEX(Escaleta!$I$1:$I$504,R186))</f>
        <v/>
      </c>
      <c r="AB186" s="50">
        <f>IF(S186=0,"",INDEX(Escaleta!$I$1:$I$504,S186))</f>
        <v/>
      </c>
    </row>
    <row r="187" ht="18" customHeight="1">
      <c r="A187" s="48">
        <f>IF(A186="","",IF(A186+Configuración!$C$7/1440&gt;Configuración!$C$6-0.0001,"",A186+Configuración!$C$7/1440))</f>
        <v/>
      </c>
      <c r="B187" s="49">
        <f>IF(L187=0,"",IF(L187&lt;&gt;L186,INDEX(Escaleta!$F$1:$F$504,L187),IF(L187&lt;&gt;L185,TEXT(INDEX(Escaleta!$C$1:$C$504,L187),"hh:mm")&amp;"–"&amp;TEXT(INDEX(Escaleta!$E$1:$E$504,L187),"hh:mm"),"")))</f>
        <v/>
      </c>
      <c r="C187" s="49">
        <f>IF(M187=0,"",IF(M187&lt;&gt;M186,INDEX(Escaleta!$F$1:$F$504,M187),IF(M187&lt;&gt;M185,TEXT(INDEX(Escaleta!$C$1:$C$504,M187),"hh:mm")&amp;"–"&amp;TEXT(INDEX(Escaleta!$E$1:$E$504,M187),"hh:mm"),"")))</f>
        <v/>
      </c>
      <c r="D187" s="49">
        <f>IF(N187=0,"",IF(N187&lt;&gt;N186,INDEX(Escaleta!$F$1:$F$504,N187),IF(N187&lt;&gt;N185,TEXT(INDEX(Escaleta!$C$1:$C$504,N187),"hh:mm")&amp;"–"&amp;TEXT(INDEX(Escaleta!$E$1:$E$504,N187),"hh:mm"),"")))</f>
        <v/>
      </c>
      <c r="E187" s="49">
        <f>IF(O187=0,"",IF(O187&lt;&gt;O186,INDEX(Escaleta!$F$1:$F$504,O187),IF(O187&lt;&gt;O185,TEXT(INDEX(Escaleta!$C$1:$C$504,O187),"hh:mm")&amp;"–"&amp;TEXT(INDEX(Escaleta!$E$1:$E$504,O187),"hh:mm"),"")))</f>
        <v/>
      </c>
      <c r="F187" s="49">
        <f>IF(P187=0,"",IF(P187&lt;&gt;P186,INDEX(Escaleta!$F$1:$F$504,P187),IF(P187&lt;&gt;P185,TEXT(INDEX(Escaleta!$C$1:$C$504,P187),"hh:mm")&amp;"–"&amp;TEXT(INDEX(Escaleta!$E$1:$E$504,P187),"hh:mm"),"")))</f>
        <v/>
      </c>
      <c r="G187" s="49">
        <f>IF(Q187=0,"",IF(Q187&lt;&gt;Q186,INDEX(Escaleta!$F$1:$F$504,Q187),IF(Q187&lt;&gt;Q185,TEXT(INDEX(Escaleta!$C$1:$C$504,Q187),"hh:mm")&amp;"–"&amp;TEXT(INDEX(Escaleta!$E$1:$E$504,Q187),"hh:mm"),"")))</f>
        <v/>
      </c>
      <c r="H187" s="49">
        <f>IF(R187=0,"",IF(R187&lt;&gt;R186,INDEX(Escaleta!$F$1:$F$504,R187),IF(R187&lt;&gt;R185,TEXT(INDEX(Escaleta!$C$1:$C$504,R187),"hh:mm")&amp;"–"&amp;TEXT(INDEX(Escaleta!$E$1:$E$504,R187),"hh:mm"),"")))</f>
        <v/>
      </c>
      <c r="I187" s="49">
        <f>IF(S187=0,"",IF(S187&lt;&gt;S186,INDEX(Escaleta!$F$1:$F$504,S187),IF(S187&lt;&gt;S185,TEXT(INDEX(Escaleta!$C$1:$C$504,S187),"hh:mm")&amp;"–"&amp;TEXT(INDEX(Escaleta!$E$1:$E$504,S187),"hh:mm"),"")))</f>
        <v/>
      </c>
      <c r="L187" s="50">
        <f>IF(OR($A187="",B$6=""),0,SUMPRODUCT(MAX((Escaleta!$A$5:$A$504=$B$4)*(Escaleta!$H$5:$H$504=B$6)*(Escaleta!$K$5:$K$504&lt;&gt;"Cancelada")*(Escaleta!$C$5:$C$504&lt;$A187+Configuración!$C$7/1440)*(Escaleta!$E$5:$E$504&gt;$A187)*ROW(Escaleta!$A$5:$A$504))))</f>
        <v/>
      </c>
      <c r="M187" s="50">
        <f>IF(OR($A187="",C$6=""),0,SUMPRODUCT(MAX((Escaleta!$A$5:$A$504=$B$4)*(Escaleta!$H$5:$H$504=C$6)*(Escaleta!$K$5:$K$504&lt;&gt;"Cancelada")*(Escaleta!$C$5:$C$504&lt;$A187+Configuración!$C$7/1440)*(Escaleta!$E$5:$E$504&gt;$A187)*ROW(Escaleta!$A$5:$A$504))))</f>
        <v/>
      </c>
      <c r="N187" s="50">
        <f>IF(OR($A187="",D$6=""),0,SUMPRODUCT(MAX((Escaleta!$A$5:$A$504=$B$4)*(Escaleta!$H$5:$H$504=D$6)*(Escaleta!$K$5:$K$504&lt;&gt;"Cancelada")*(Escaleta!$C$5:$C$504&lt;$A187+Configuración!$C$7/1440)*(Escaleta!$E$5:$E$504&gt;$A187)*ROW(Escaleta!$A$5:$A$504))))</f>
        <v/>
      </c>
      <c r="O187" s="50">
        <f>IF(OR($A187="",E$6=""),0,SUMPRODUCT(MAX((Escaleta!$A$5:$A$504=$B$4)*(Escaleta!$H$5:$H$504=E$6)*(Escaleta!$K$5:$K$504&lt;&gt;"Cancelada")*(Escaleta!$C$5:$C$504&lt;$A187+Configuración!$C$7/1440)*(Escaleta!$E$5:$E$504&gt;$A187)*ROW(Escaleta!$A$5:$A$504))))</f>
        <v/>
      </c>
      <c r="P187" s="50">
        <f>IF(OR($A187="",F$6=""),0,SUMPRODUCT(MAX((Escaleta!$A$5:$A$504=$B$4)*(Escaleta!$H$5:$H$504=F$6)*(Escaleta!$K$5:$K$504&lt;&gt;"Cancelada")*(Escaleta!$C$5:$C$504&lt;$A187+Configuración!$C$7/1440)*(Escaleta!$E$5:$E$504&gt;$A187)*ROW(Escaleta!$A$5:$A$504))))</f>
        <v/>
      </c>
      <c r="Q187" s="50">
        <f>IF(OR($A187="",G$6=""),0,SUMPRODUCT(MAX((Escaleta!$A$5:$A$504=$B$4)*(Escaleta!$H$5:$H$504=G$6)*(Escaleta!$K$5:$K$504&lt;&gt;"Cancelada")*(Escaleta!$C$5:$C$504&lt;$A187+Configuración!$C$7/1440)*(Escaleta!$E$5:$E$504&gt;$A187)*ROW(Escaleta!$A$5:$A$504))))</f>
        <v/>
      </c>
      <c r="R187" s="50">
        <f>IF(OR($A187="",H$6=""),0,SUMPRODUCT(MAX((Escaleta!$A$5:$A$504=$B$4)*(Escaleta!$H$5:$H$504=H$6)*(Escaleta!$K$5:$K$504&lt;&gt;"Cancelada")*(Escaleta!$C$5:$C$504&lt;$A187+Configuración!$C$7/1440)*(Escaleta!$E$5:$E$504&gt;$A187)*ROW(Escaleta!$A$5:$A$504))))</f>
        <v/>
      </c>
      <c r="S187" s="50">
        <f>IF(OR($A187="",I$6=""),0,SUMPRODUCT(MAX((Escaleta!$A$5:$A$504=$B$4)*(Escaleta!$H$5:$H$504=I$6)*(Escaleta!$K$5:$K$504&lt;&gt;"Cancelada")*(Escaleta!$C$5:$C$504&lt;$A187+Configuración!$C$7/1440)*(Escaleta!$E$5:$E$504&gt;$A187)*ROW(Escaleta!$A$5:$A$504))))</f>
        <v/>
      </c>
      <c r="U187" s="50">
        <f>IF(L187=0,"",INDEX(Escaleta!$I$1:$I$504,L187))</f>
        <v/>
      </c>
      <c r="V187" s="50">
        <f>IF(M187=0,"",INDEX(Escaleta!$I$1:$I$504,M187))</f>
        <v/>
      </c>
      <c r="W187" s="50">
        <f>IF(N187=0,"",INDEX(Escaleta!$I$1:$I$504,N187))</f>
        <v/>
      </c>
      <c r="X187" s="50">
        <f>IF(O187=0,"",INDEX(Escaleta!$I$1:$I$504,O187))</f>
        <v/>
      </c>
      <c r="Y187" s="50">
        <f>IF(P187=0,"",INDEX(Escaleta!$I$1:$I$504,P187))</f>
        <v/>
      </c>
      <c r="Z187" s="50">
        <f>IF(Q187=0,"",INDEX(Escaleta!$I$1:$I$504,Q187))</f>
        <v/>
      </c>
      <c r="AA187" s="50">
        <f>IF(R187=0,"",INDEX(Escaleta!$I$1:$I$504,R187))</f>
        <v/>
      </c>
      <c r="AB187" s="50">
        <f>IF(S187=0,"",INDEX(Escaleta!$I$1:$I$504,S187))</f>
        <v/>
      </c>
    </row>
    <row r="188" ht="18" customHeight="1">
      <c r="A188" s="48">
        <f>IF(A187="","",IF(A187+Configuración!$C$7/1440&gt;Configuración!$C$6-0.0001,"",A187+Configuración!$C$7/1440))</f>
        <v/>
      </c>
      <c r="B188" s="49">
        <f>IF(L188=0,"",IF(L188&lt;&gt;L187,INDEX(Escaleta!$F$1:$F$504,L188),IF(L188&lt;&gt;L186,TEXT(INDEX(Escaleta!$C$1:$C$504,L188),"hh:mm")&amp;"–"&amp;TEXT(INDEX(Escaleta!$E$1:$E$504,L188),"hh:mm"),"")))</f>
        <v/>
      </c>
      <c r="C188" s="49">
        <f>IF(M188=0,"",IF(M188&lt;&gt;M187,INDEX(Escaleta!$F$1:$F$504,M188),IF(M188&lt;&gt;M186,TEXT(INDEX(Escaleta!$C$1:$C$504,M188),"hh:mm")&amp;"–"&amp;TEXT(INDEX(Escaleta!$E$1:$E$504,M188),"hh:mm"),"")))</f>
        <v/>
      </c>
      <c r="D188" s="49">
        <f>IF(N188=0,"",IF(N188&lt;&gt;N187,INDEX(Escaleta!$F$1:$F$504,N188),IF(N188&lt;&gt;N186,TEXT(INDEX(Escaleta!$C$1:$C$504,N188),"hh:mm")&amp;"–"&amp;TEXT(INDEX(Escaleta!$E$1:$E$504,N188),"hh:mm"),"")))</f>
        <v/>
      </c>
      <c r="E188" s="49">
        <f>IF(O188=0,"",IF(O188&lt;&gt;O187,INDEX(Escaleta!$F$1:$F$504,O188),IF(O188&lt;&gt;O186,TEXT(INDEX(Escaleta!$C$1:$C$504,O188),"hh:mm")&amp;"–"&amp;TEXT(INDEX(Escaleta!$E$1:$E$504,O188),"hh:mm"),"")))</f>
        <v/>
      </c>
      <c r="F188" s="49">
        <f>IF(P188=0,"",IF(P188&lt;&gt;P187,INDEX(Escaleta!$F$1:$F$504,P188),IF(P188&lt;&gt;P186,TEXT(INDEX(Escaleta!$C$1:$C$504,P188),"hh:mm")&amp;"–"&amp;TEXT(INDEX(Escaleta!$E$1:$E$504,P188),"hh:mm"),"")))</f>
        <v/>
      </c>
      <c r="G188" s="49">
        <f>IF(Q188=0,"",IF(Q188&lt;&gt;Q187,INDEX(Escaleta!$F$1:$F$504,Q188),IF(Q188&lt;&gt;Q186,TEXT(INDEX(Escaleta!$C$1:$C$504,Q188),"hh:mm")&amp;"–"&amp;TEXT(INDEX(Escaleta!$E$1:$E$504,Q188),"hh:mm"),"")))</f>
        <v/>
      </c>
      <c r="H188" s="49">
        <f>IF(R188=0,"",IF(R188&lt;&gt;R187,INDEX(Escaleta!$F$1:$F$504,R188),IF(R188&lt;&gt;R186,TEXT(INDEX(Escaleta!$C$1:$C$504,R188),"hh:mm")&amp;"–"&amp;TEXT(INDEX(Escaleta!$E$1:$E$504,R188),"hh:mm"),"")))</f>
        <v/>
      </c>
      <c r="I188" s="49">
        <f>IF(S188=0,"",IF(S188&lt;&gt;S187,INDEX(Escaleta!$F$1:$F$504,S188),IF(S188&lt;&gt;S186,TEXT(INDEX(Escaleta!$C$1:$C$504,S188),"hh:mm")&amp;"–"&amp;TEXT(INDEX(Escaleta!$E$1:$E$504,S188),"hh:mm"),"")))</f>
        <v/>
      </c>
      <c r="L188" s="50">
        <f>IF(OR($A188="",B$6=""),0,SUMPRODUCT(MAX((Escaleta!$A$5:$A$504=$B$4)*(Escaleta!$H$5:$H$504=B$6)*(Escaleta!$K$5:$K$504&lt;&gt;"Cancelada")*(Escaleta!$C$5:$C$504&lt;$A188+Configuración!$C$7/1440)*(Escaleta!$E$5:$E$504&gt;$A188)*ROW(Escaleta!$A$5:$A$504))))</f>
        <v/>
      </c>
      <c r="M188" s="50">
        <f>IF(OR($A188="",C$6=""),0,SUMPRODUCT(MAX((Escaleta!$A$5:$A$504=$B$4)*(Escaleta!$H$5:$H$504=C$6)*(Escaleta!$K$5:$K$504&lt;&gt;"Cancelada")*(Escaleta!$C$5:$C$504&lt;$A188+Configuración!$C$7/1440)*(Escaleta!$E$5:$E$504&gt;$A188)*ROW(Escaleta!$A$5:$A$504))))</f>
        <v/>
      </c>
      <c r="N188" s="50">
        <f>IF(OR($A188="",D$6=""),0,SUMPRODUCT(MAX((Escaleta!$A$5:$A$504=$B$4)*(Escaleta!$H$5:$H$504=D$6)*(Escaleta!$K$5:$K$504&lt;&gt;"Cancelada")*(Escaleta!$C$5:$C$504&lt;$A188+Configuración!$C$7/1440)*(Escaleta!$E$5:$E$504&gt;$A188)*ROW(Escaleta!$A$5:$A$504))))</f>
        <v/>
      </c>
      <c r="O188" s="50">
        <f>IF(OR($A188="",E$6=""),0,SUMPRODUCT(MAX((Escaleta!$A$5:$A$504=$B$4)*(Escaleta!$H$5:$H$504=E$6)*(Escaleta!$K$5:$K$504&lt;&gt;"Cancelada")*(Escaleta!$C$5:$C$504&lt;$A188+Configuración!$C$7/1440)*(Escaleta!$E$5:$E$504&gt;$A188)*ROW(Escaleta!$A$5:$A$504))))</f>
        <v/>
      </c>
      <c r="P188" s="50">
        <f>IF(OR($A188="",F$6=""),0,SUMPRODUCT(MAX((Escaleta!$A$5:$A$504=$B$4)*(Escaleta!$H$5:$H$504=F$6)*(Escaleta!$K$5:$K$504&lt;&gt;"Cancelada")*(Escaleta!$C$5:$C$504&lt;$A188+Configuración!$C$7/1440)*(Escaleta!$E$5:$E$504&gt;$A188)*ROW(Escaleta!$A$5:$A$504))))</f>
        <v/>
      </c>
      <c r="Q188" s="50">
        <f>IF(OR($A188="",G$6=""),0,SUMPRODUCT(MAX((Escaleta!$A$5:$A$504=$B$4)*(Escaleta!$H$5:$H$504=G$6)*(Escaleta!$K$5:$K$504&lt;&gt;"Cancelada")*(Escaleta!$C$5:$C$504&lt;$A188+Configuración!$C$7/1440)*(Escaleta!$E$5:$E$504&gt;$A188)*ROW(Escaleta!$A$5:$A$504))))</f>
        <v/>
      </c>
      <c r="R188" s="50">
        <f>IF(OR($A188="",H$6=""),0,SUMPRODUCT(MAX((Escaleta!$A$5:$A$504=$B$4)*(Escaleta!$H$5:$H$504=H$6)*(Escaleta!$K$5:$K$504&lt;&gt;"Cancelada")*(Escaleta!$C$5:$C$504&lt;$A188+Configuración!$C$7/1440)*(Escaleta!$E$5:$E$504&gt;$A188)*ROW(Escaleta!$A$5:$A$504))))</f>
        <v/>
      </c>
      <c r="S188" s="50">
        <f>IF(OR($A188="",I$6=""),0,SUMPRODUCT(MAX((Escaleta!$A$5:$A$504=$B$4)*(Escaleta!$H$5:$H$504=I$6)*(Escaleta!$K$5:$K$504&lt;&gt;"Cancelada")*(Escaleta!$C$5:$C$504&lt;$A188+Configuración!$C$7/1440)*(Escaleta!$E$5:$E$504&gt;$A188)*ROW(Escaleta!$A$5:$A$504))))</f>
        <v/>
      </c>
      <c r="U188" s="50">
        <f>IF(L188=0,"",INDEX(Escaleta!$I$1:$I$504,L188))</f>
        <v/>
      </c>
      <c r="V188" s="50">
        <f>IF(M188=0,"",INDEX(Escaleta!$I$1:$I$504,M188))</f>
        <v/>
      </c>
      <c r="W188" s="50">
        <f>IF(N188=0,"",INDEX(Escaleta!$I$1:$I$504,N188))</f>
        <v/>
      </c>
      <c r="X188" s="50">
        <f>IF(O188=0,"",INDEX(Escaleta!$I$1:$I$504,O188))</f>
        <v/>
      </c>
      <c r="Y188" s="50">
        <f>IF(P188=0,"",INDEX(Escaleta!$I$1:$I$504,P188))</f>
        <v/>
      </c>
      <c r="Z188" s="50">
        <f>IF(Q188=0,"",INDEX(Escaleta!$I$1:$I$504,Q188))</f>
        <v/>
      </c>
      <c r="AA188" s="50">
        <f>IF(R188=0,"",INDEX(Escaleta!$I$1:$I$504,R188))</f>
        <v/>
      </c>
      <c r="AB188" s="50">
        <f>IF(S188=0,"",INDEX(Escaleta!$I$1:$I$504,S188))</f>
        <v/>
      </c>
    </row>
    <row r="189" ht="18" customHeight="1">
      <c r="A189" s="48">
        <f>IF(A188="","",IF(A188+Configuración!$C$7/1440&gt;Configuración!$C$6-0.0001,"",A188+Configuración!$C$7/1440))</f>
        <v/>
      </c>
      <c r="B189" s="49">
        <f>IF(L189=0,"",IF(L189&lt;&gt;L188,INDEX(Escaleta!$F$1:$F$504,L189),IF(L189&lt;&gt;L187,TEXT(INDEX(Escaleta!$C$1:$C$504,L189),"hh:mm")&amp;"–"&amp;TEXT(INDEX(Escaleta!$E$1:$E$504,L189),"hh:mm"),"")))</f>
        <v/>
      </c>
      <c r="C189" s="49">
        <f>IF(M189=0,"",IF(M189&lt;&gt;M188,INDEX(Escaleta!$F$1:$F$504,M189),IF(M189&lt;&gt;M187,TEXT(INDEX(Escaleta!$C$1:$C$504,M189),"hh:mm")&amp;"–"&amp;TEXT(INDEX(Escaleta!$E$1:$E$504,M189),"hh:mm"),"")))</f>
        <v/>
      </c>
      <c r="D189" s="49">
        <f>IF(N189=0,"",IF(N189&lt;&gt;N188,INDEX(Escaleta!$F$1:$F$504,N189),IF(N189&lt;&gt;N187,TEXT(INDEX(Escaleta!$C$1:$C$504,N189),"hh:mm")&amp;"–"&amp;TEXT(INDEX(Escaleta!$E$1:$E$504,N189),"hh:mm"),"")))</f>
        <v/>
      </c>
      <c r="E189" s="49">
        <f>IF(O189=0,"",IF(O189&lt;&gt;O188,INDEX(Escaleta!$F$1:$F$504,O189),IF(O189&lt;&gt;O187,TEXT(INDEX(Escaleta!$C$1:$C$504,O189),"hh:mm")&amp;"–"&amp;TEXT(INDEX(Escaleta!$E$1:$E$504,O189),"hh:mm"),"")))</f>
        <v/>
      </c>
      <c r="F189" s="49">
        <f>IF(P189=0,"",IF(P189&lt;&gt;P188,INDEX(Escaleta!$F$1:$F$504,P189),IF(P189&lt;&gt;P187,TEXT(INDEX(Escaleta!$C$1:$C$504,P189),"hh:mm")&amp;"–"&amp;TEXT(INDEX(Escaleta!$E$1:$E$504,P189),"hh:mm"),"")))</f>
        <v/>
      </c>
      <c r="G189" s="49">
        <f>IF(Q189=0,"",IF(Q189&lt;&gt;Q188,INDEX(Escaleta!$F$1:$F$504,Q189),IF(Q189&lt;&gt;Q187,TEXT(INDEX(Escaleta!$C$1:$C$504,Q189),"hh:mm")&amp;"–"&amp;TEXT(INDEX(Escaleta!$E$1:$E$504,Q189),"hh:mm"),"")))</f>
        <v/>
      </c>
      <c r="H189" s="49">
        <f>IF(R189=0,"",IF(R189&lt;&gt;R188,INDEX(Escaleta!$F$1:$F$504,R189),IF(R189&lt;&gt;R187,TEXT(INDEX(Escaleta!$C$1:$C$504,R189),"hh:mm")&amp;"–"&amp;TEXT(INDEX(Escaleta!$E$1:$E$504,R189),"hh:mm"),"")))</f>
        <v/>
      </c>
      <c r="I189" s="49">
        <f>IF(S189=0,"",IF(S189&lt;&gt;S188,INDEX(Escaleta!$F$1:$F$504,S189),IF(S189&lt;&gt;S187,TEXT(INDEX(Escaleta!$C$1:$C$504,S189),"hh:mm")&amp;"–"&amp;TEXT(INDEX(Escaleta!$E$1:$E$504,S189),"hh:mm"),"")))</f>
        <v/>
      </c>
      <c r="L189" s="50">
        <f>IF(OR($A189="",B$6=""),0,SUMPRODUCT(MAX((Escaleta!$A$5:$A$504=$B$4)*(Escaleta!$H$5:$H$504=B$6)*(Escaleta!$K$5:$K$504&lt;&gt;"Cancelada")*(Escaleta!$C$5:$C$504&lt;$A189+Configuración!$C$7/1440)*(Escaleta!$E$5:$E$504&gt;$A189)*ROW(Escaleta!$A$5:$A$504))))</f>
        <v/>
      </c>
      <c r="M189" s="50">
        <f>IF(OR($A189="",C$6=""),0,SUMPRODUCT(MAX((Escaleta!$A$5:$A$504=$B$4)*(Escaleta!$H$5:$H$504=C$6)*(Escaleta!$K$5:$K$504&lt;&gt;"Cancelada")*(Escaleta!$C$5:$C$504&lt;$A189+Configuración!$C$7/1440)*(Escaleta!$E$5:$E$504&gt;$A189)*ROW(Escaleta!$A$5:$A$504))))</f>
        <v/>
      </c>
      <c r="N189" s="50">
        <f>IF(OR($A189="",D$6=""),0,SUMPRODUCT(MAX((Escaleta!$A$5:$A$504=$B$4)*(Escaleta!$H$5:$H$504=D$6)*(Escaleta!$K$5:$K$504&lt;&gt;"Cancelada")*(Escaleta!$C$5:$C$504&lt;$A189+Configuración!$C$7/1440)*(Escaleta!$E$5:$E$504&gt;$A189)*ROW(Escaleta!$A$5:$A$504))))</f>
        <v/>
      </c>
      <c r="O189" s="50">
        <f>IF(OR($A189="",E$6=""),0,SUMPRODUCT(MAX((Escaleta!$A$5:$A$504=$B$4)*(Escaleta!$H$5:$H$504=E$6)*(Escaleta!$K$5:$K$504&lt;&gt;"Cancelada")*(Escaleta!$C$5:$C$504&lt;$A189+Configuración!$C$7/1440)*(Escaleta!$E$5:$E$504&gt;$A189)*ROW(Escaleta!$A$5:$A$504))))</f>
        <v/>
      </c>
      <c r="P189" s="50">
        <f>IF(OR($A189="",F$6=""),0,SUMPRODUCT(MAX((Escaleta!$A$5:$A$504=$B$4)*(Escaleta!$H$5:$H$504=F$6)*(Escaleta!$K$5:$K$504&lt;&gt;"Cancelada")*(Escaleta!$C$5:$C$504&lt;$A189+Configuración!$C$7/1440)*(Escaleta!$E$5:$E$504&gt;$A189)*ROW(Escaleta!$A$5:$A$504))))</f>
        <v/>
      </c>
      <c r="Q189" s="50">
        <f>IF(OR($A189="",G$6=""),0,SUMPRODUCT(MAX((Escaleta!$A$5:$A$504=$B$4)*(Escaleta!$H$5:$H$504=G$6)*(Escaleta!$K$5:$K$504&lt;&gt;"Cancelada")*(Escaleta!$C$5:$C$504&lt;$A189+Configuración!$C$7/1440)*(Escaleta!$E$5:$E$504&gt;$A189)*ROW(Escaleta!$A$5:$A$504))))</f>
        <v/>
      </c>
      <c r="R189" s="50">
        <f>IF(OR($A189="",H$6=""),0,SUMPRODUCT(MAX((Escaleta!$A$5:$A$504=$B$4)*(Escaleta!$H$5:$H$504=H$6)*(Escaleta!$K$5:$K$504&lt;&gt;"Cancelada")*(Escaleta!$C$5:$C$504&lt;$A189+Configuración!$C$7/1440)*(Escaleta!$E$5:$E$504&gt;$A189)*ROW(Escaleta!$A$5:$A$504))))</f>
        <v/>
      </c>
      <c r="S189" s="50">
        <f>IF(OR($A189="",I$6=""),0,SUMPRODUCT(MAX((Escaleta!$A$5:$A$504=$B$4)*(Escaleta!$H$5:$H$504=I$6)*(Escaleta!$K$5:$K$504&lt;&gt;"Cancelada")*(Escaleta!$C$5:$C$504&lt;$A189+Configuración!$C$7/1440)*(Escaleta!$E$5:$E$504&gt;$A189)*ROW(Escaleta!$A$5:$A$504))))</f>
        <v/>
      </c>
      <c r="U189" s="50">
        <f>IF(L189=0,"",INDEX(Escaleta!$I$1:$I$504,L189))</f>
        <v/>
      </c>
      <c r="V189" s="50">
        <f>IF(M189=0,"",INDEX(Escaleta!$I$1:$I$504,M189))</f>
        <v/>
      </c>
      <c r="W189" s="50">
        <f>IF(N189=0,"",INDEX(Escaleta!$I$1:$I$504,N189))</f>
        <v/>
      </c>
      <c r="X189" s="50">
        <f>IF(O189=0,"",INDEX(Escaleta!$I$1:$I$504,O189))</f>
        <v/>
      </c>
      <c r="Y189" s="50">
        <f>IF(P189=0,"",INDEX(Escaleta!$I$1:$I$504,P189))</f>
        <v/>
      </c>
      <c r="Z189" s="50">
        <f>IF(Q189=0,"",INDEX(Escaleta!$I$1:$I$504,Q189))</f>
        <v/>
      </c>
      <c r="AA189" s="50">
        <f>IF(R189=0,"",INDEX(Escaleta!$I$1:$I$504,R189))</f>
        <v/>
      </c>
      <c r="AB189" s="50">
        <f>IF(S189=0,"",INDEX(Escaleta!$I$1:$I$504,S189))</f>
        <v/>
      </c>
    </row>
    <row r="190" ht="18" customHeight="1">
      <c r="A190" s="48">
        <f>IF(A189="","",IF(A189+Configuración!$C$7/1440&gt;Configuración!$C$6-0.0001,"",A189+Configuración!$C$7/1440))</f>
        <v/>
      </c>
      <c r="B190" s="49">
        <f>IF(L190=0,"",IF(L190&lt;&gt;L189,INDEX(Escaleta!$F$1:$F$504,L190),IF(L190&lt;&gt;L188,TEXT(INDEX(Escaleta!$C$1:$C$504,L190),"hh:mm")&amp;"–"&amp;TEXT(INDEX(Escaleta!$E$1:$E$504,L190),"hh:mm"),"")))</f>
        <v/>
      </c>
      <c r="C190" s="49">
        <f>IF(M190=0,"",IF(M190&lt;&gt;M189,INDEX(Escaleta!$F$1:$F$504,M190),IF(M190&lt;&gt;M188,TEXT(INDEX(Escaleta!$C$1:$C$504,M190),"hh:mm")&amp;"–"&amp;TEXT(INDEX(Escaleta!$E$1:$E$504,M190),"hh:mm"),"")))</f>
        <v/>
      </c>
      <c r="D190" s="49">
        <f>IF(N190=0,"",IF(N190&lt;&gt;N189,INDEX(Escaleta!$F$1:$F$504,N190),IF(N190&lt;&gt;N188,TEXT(INDEX(Escaleta!$C$1:$C$504,N190),"hh:mm")&amp;"–"&amp;TEXT(INDEX(Escaleta!$E$1:$E$504,N190),"hh:mm"),"")))</f>
        <v/>
      </c>
      <c r="E190" s="49">
        <f>IF(O190=0,"",IF(O190&lt;&gt;O189,INDEX(Escaleta!$F$1:$F$504,O190),IF(O190&lt;&gt;O188,TEXT(INDEX(Escaleta!$C$1:$C$504,O190),"hh:mm")&amp;"–"&amp;TEXT(INDEX(Escaleta!$E$1:$E$504,O190),"hh:mm"),"")))</f>
        <v/>
      </c>
      <c r="F190" s="49">
        <f>IF(P190=0,"",IF(P190&lt;&gt;P189,INDEX(Escaleta!$F$1:$F$504,P190),IF(P190&lt;&gt;P188,TEXT(INDEX(Escaleta!$C$1:$C$504,P190),"hh:mm")&amp;"–"&amp;TEXT(INDEX(Escaleta!$E$1:$E$504,P190),"hh:mm"),"")))</f>
        <v/>
      </c>
      <c r="G190" s="49">
        <f>IF(Q190=0,"",IF(Q190&lt;&gt;Q189,INDEX(Escaleta!$F$1:$F$504,Q190),IF(Q190&lt;&gt;Q188,TEXT(INDEX(Escaleta!$C$1:$C$504,Q190),"hh:mm")&amp;"–"&amp;TEXT(INDEX(Escaleta!$E$1:$E$504,Q190),"hh:mm"),"")))</f>
        <v/>
      </c>
      <c r="H190" s="49">
        <f>IF(R190=0,"",IF(R190&lt;&gt;R189,INDEX(Escaleta!$F$1:$F$504,R190),IF(R190&lt;&gt;R188,TEXT(INDEX(Escaleta!$C$1:$C$504,R190),"hh:mm")&amp;"–"&amp;TEXT(INDEX(Escaleta!$E$1:$E$504,R190),"hh:mm"),"")))</f>
        <v/>
      </c>
      <c r="I190" s="49">
        <f>IF(S190=0,"",IF(S190&lt;&gt;S189,INDEX(Escaleta!$F$1:$F$504,S190),IF(S190&lt;&gt;S188,TEXT(INDEX(Escaleta!$C$1:$C$504,S190),"hh:mm")&amp;"–"&amp;TEXT(INDEX(Escaleta!$E$1:$E$504,S190),"hh:mm"),"")))</f>
        <v/>
      </c>
      <c r="L190" s="50">
        <f>IF(OR($A190="",B$6=""),0,SUMPRODUCT(MAX((Escaleta!$A$5:$A$504=$B$4)*(Escaleta!$H$5:$H$504=B$6)*(Escaleta!$K$5:$K$504&lt;&gt;"Cancelada")*(Escaleta!$C$5:$C$504&lt;$A190+Configuración!$C$7/1440)*(Escaleta!$E$5:$E$504&gt;$A190)*ROW(Escaleta!$A$5:$A$504))))</f>
        <v/>
      </c>
      <c r="M190" s="50">
        <f>IF(OR($A190="",C$6=""),0,SUMPRODUCT(MAX((Escaleta!$A$5:$A$504=$B$4)*(Escaleta!$H$5:$H$504=C$6)*(Escaleta!$K$5:$K$504&lt;&gt;"Cancelada")*(Escaleta!$C$5:$C$504&lt;$A190+Configuración!$C$7/1440)*(Escaleta!$E$5:$E$504&gt;$A190)*ROW(Escaleta!$A$5:$A$504))))</f>
        <v/>
      </c>
      <c r="N190" s="50">
        <f>IF(OR($A190="",D$6=""),0,SUMPRODUCT(MAX((Escaleta!$A$5:$A$504=$B$4)*(Escaleta!$H$5:$H$504=D$6)*(Escaleta!$K$5:$K$504&lt;&gt;"Cancelada")*(Escaleta!$C$5:$C$504&lt;$A190+Configuración!$C$7/1440)*(Escaleta!$E$5:$E$504&gt;$A190)*ROW(Escaleta!$A$5:$A$504))))</f>
        <v/>
      </c>
      <c r="O190" s="50">
        <f>IF(OR($A190="",E$6=""),0,SUMPRODUCT(MAX((Escaleta!$A$5:$A$504=$B$4)*(Escaleta!$H$5:$H$504=E$6)*(Escaleta!$K$5:$K$504&lt;&gt;"Cancelada")*(Escaleta!$C$5:$C$504&lt;$A190+Configuración!$C$7/1440)*(Escaleta!$E$5:$E$504&gt;$A190)*ROW(Escaleta!$A$5:$A$504))))</f>
        <v/>
      </c>
      <c r="P190" s="50">
        <f>IF(OR($A190="",F$6=""),0,SUMPRODUCT(MAX((Escaleta!$A$5:$A$504=$B$4)*(Escaleta!$H$5:$H$504=F$6)*(Escaleta!$K$5:$K$504&lt;&gt;"Cancelada")*(Escaleta!$C$5:$C$504&lt;$A190+Configuración!$C$7/1440)*(Escaleta!$E$5:$E$504&gt;$A190)*ROW(Escaleta!$A$5:$A$504))))</f>
        <v/>
      </c>
      <c r="Q190" s="50">
        <f>IF(OR($A190="",G$6=""),0,SUMPRODUCT(MAX((Escaleta!$A$5:$A$504=$B$4)*(Escaleta!$H$5:$H$504=G$6)*(Escaleta!$K$5:$K$504&lt;&gt;"Cancelada")*(Escaleta!$C$5:$C$504&lt;$A190+Configuración!$C$7/1440)*(Escaleta!$E$5:$E$504&gt;$A190)*ROW(Escaleta!$A$5:$A$504))))</f>
        <v/>
      </c>
      <c r="R190" s="50">
        <f>IF(OR($A190="",H$6=""),0,SUMPRODUCT(MAX((Escaleta!$A$5:$A$504=$B$4)*(Escaleta!$H$5:$H$504=H$6)*(Escaleta!$K$5:$K$504&lt;&gt;"Cancelada")*(Escaleta!$C$5:$C$504&lt;$A190+Configuración!$C$7/1440)*(Escaleta!$E$5:$E$504&gt;$A190)*ROW(Escaleta!$A$5:$A$504))))</f>
        <v/>
      </c>
      <c r="S190" s="50">
        <f>IF(OR($A190="",I$6=""),0,SUMPRODUCT(MAX((Escaleta!$A$5:$A$504=$B$4)*(Escaleta!$H$5:$H$504=I$6)*(Escaleta!$K$5:$K$504&lt;&gt;"Cancelada")*(Escaleta!$C$5:$C$504&lt;$A190+Configuración!$C$7/1440)*(Escaleta!$E$5:$E$504&gt;$A190)*ROW(Escaleta!$A$5:$A$504))))</f>
        <v/>
      </c>
      <c r="U190" s="50">
        <f>IF(L190=0,"",INDEX(Escaleta!$I$1:$I$504,L190))</f>
        <v/>
      </c>
      <c r="V190" s="50">
        <f>IF(M190=0,"",INDEX(Escaleta!$I$1:$I$504,M190))</f>
        <v/>
      </c>
      <c r="W190" s="50">
        <f>IF(N190=0,"",INDEX(Escaleta!$I$1:$I$504,N190))</f>
        <v/>
      </c>
      <c r="X190" s="50">
        <f>IF(O190=0,"",INDEX(Escaleta!$I$1:$I$504,O190))</f>
        <v/>
      </c>
      <c r="Y190" s="50">
        <f>IF(P190=0,"",INDEX(Escaleta!$I$1:$I$504,P190))</f>
        <v/>
      </c>
      <c r="Z190" s="50">
        <f>IF(Q190=0,"",INDEX(Escaleta!$I$1:$I$504,Q190))</f>
        <v/>
      </c>
      <c r="AA190" s="50">
        <f>IF(R190=0,"",INDEX(Escaleta!$I$1:$I$504,R190))</f>
        <v/>
      </c>
      <c r="AB190" s="50">
        <f>IF(S190=0,"",INDEX(Escaleta!$I$1:$I$504,S190))</f>
        <v/>
      </c>
    </row>
    <row r="191" ht="18" customHeight="1">
      <c r="A191" s="48">
        <f>IF(A190="","",IF(A190+Configuración!$C$7/1440&gt;Configuración!$C$6-0.0001,"",A190+Configuración!$C$7/1440))</f>
        <v/>
      </c>
      <c r="B191" s="49">
        <f>IF(L191=0,"",IF(L191&lt;&gt;L190,INDEX(Escaleta!$F$1:$F$504,L191),IF(L191&lt;&gt;L189,TEXT(INDEX(Escaleta!$C$1:$C$504,L191),"hh:mm")&amp;"–"&amp;TEXT(INDEX(Escaleta!$E$1:$E$504,L191),"hh:mm"),"")))</f>
        <v/>
      </c>
      <c r="C191" s="49">
        <f>IF(M191=0,"",IF(M191&lt;&gt;M190,INDEX(Escaleta!$F$1:$F$504,M191),IF(M191&lt;&gt;M189,TEXT(INDEX(Escaleta!$C$1:$C$504,M191),"hh:mm")&amp;"–"&amp;TEXT(INDEX(Escaleta!$E$1:$E$504,M191),"hh:mm"),"")))</f>
        <v/>
      </c>
      <c r="D191" s="49">
        <f>IF(N191=0,"",IF(N191&lt;&gt;N190,INDEX(Escaleta!$F$1:$F$504,N191),IF(N191&lt;&gt;N189,TEXT(INDEX(Escaleta!$C$1:$C$504,N191),"hh:mm")&amp;"–"&amp;TEXT(INDEX(Escaleta!$E$1:$E$504,N191),"hh:mm"),"")))</f>
        <v/>
      </c>
      <c r="E191" s="49">
        <f>IF(O191=0,"",IF(O191&lt;&gt;O190,INDEX(Escaleta!$F$1:$F$504,O191),IF(O191&lt;&gt;O189,TEXT(INDEX(Escaleta!$C$1:$C$504,O191),"hh:mm")&amp;"–"&amp;TEXT(INDEX(Escaleta!$E$1:$E$504,O191),"hh:mm"),"")))</f>
        <v/>
      </c>
      <c r="F191" s="49">
        <f>IF(P191=0,"",IF(P191&lt;&gt;P190,INDEX(Escaleta!$F$1:$F$504,P191),IF(P191&lt;&gt;P189,TEXT(INDEX(Escaleta!$C$1:$C$504,P191),"hh:mm")&amp;"–"&amp;TEXT(INDEX(Escaleta!$E$1:$E$504,P191),"hh:mm"),"")))</f>
        <v/>
      </c>
      <c r="G191" s="49">
        <f>IF(Q191=0,"",IF(Q191&lt;&gt;Q190,INDEX(Escaleta!$F$1:$F$504,Q191),IF(Q191&lt;&gt;Q189,TEXT(INDEX(Escaleta!$C$1:$C$504,Q191),"hh:mm")&amp;"–"&amp;TEXT(INDEX(Escaleta!$E$1:$E$504,Q191),"hh:mm"),"")))</f>
        <v/>
      </c>
      <c r="H191" s="49">
        <f>IF(R191=0,"",IF(R191&lt;&gt;R190,INDEX(Escaleta!$F$1:$F$504,R191),IF(R191&lt;&gt;R189,TEXT(INDEX(Escaleta!$C$1:$C$504,R191),"hh:mm")&amp;"–"&amp;TEXT(INDEX(Escaleta!$E$1:$E$504,R191),"hh:mm"),"")))</f>
        <v/>
      </c>
      <c r="I191" s="49">
        <f>IF(S191=0,"",IF(S191&lt;&gt;S190,INDEX(Escaleta!$F$1:$F$504,S191),IF(S191&lt;&gt;S189,TEXT(INDEX(Escaleta!$C$1:$C$504,S191),"hh:mm")&amp;"–"&amp;TEXT(INDEX(Escaleta!$E$1:$E$504,S191),"hh:mm"),"")))</f>
        <v/>
      </c>
      <c r="L191" s="50">
        <f>IF(OR($A191="",B$6=""),0,SUMPRODUCT(MAX((Escaleta!$A$5:$A$504=$B$4)*(Escaleta!$H$5:$H$504=B$6)*(Escaleta!$K$5:$K$504&lt;&gt;"Cancelada")*(Escaleta!$C$5:$C$504&lt;$A191+Configuración!$C$7/1440)*(Escaleta!$E$5:$E$504&gt;$A191)*ROW(Escaleta!$A$5:$A$504))))</f>
        <v/>
      </c>
      <c r="M191" s="50">
        <f>IF(OR($A191="",C$6=""),0,SUMPRODUCT(MAX((Escaleta!$A$5:$A$504=$B$4)*(Escaleta!$H$5:$H$504=C$6)*(Escaleta!$K$5:$K$504&lt;&gt;"Cancelada")*(Escaleta!$C$5:$C$504&lt;$A191+Configuración!$C$7/1440)*(Escaleta!$E$5:$E$504&gt;$A191)*ROW(Escaleta!$A$5:$A$504))))</f>
        <v/>
      </c>
      <c r="N191" s="50">
        <f>IF(OR($A191="",D$6=""),0,SUMPRODUCT(MAX((Escaleta!$A$5:$A$504=$B$4)*(Escaleta!$H$5:$H$504=D$6)*(Escaleta!$K$5:$K$504&lt;&gt;"Cancelada")*(Escaleta!$C$5:$C$504&lt;$A191+Configuración!$C$7/1440)*(Escaleta!$E$5:$E$504&gt;$A191)*ROW(Escaleta!$A$5:$A$504))))</f>
        <v/>
      </c>
      <c r="O191" s="50">
        <f>IF(OR($A191="",E$6=""),0,SUMPRODUCT(MAX((Escaleta!$A$5:$A$504=$B$4)*(Escaleta!$H$5:$H$504=E$6)*(Escaleta!$K$5:$K$504&lt;&gt;"Cancelada")*(Escaleta!$C$5:$C$504&lt;$A191+Configuración!$C$7/1440)*(Escaleta!$E$5:$E$504&gt;$A191)*ROW(Escaleta!$A$5:$A$504))))</f>
        <v/>
      </c>
      <c r="P191" s="50">
        <f>IF(OR($A191="",F$6=""),0,SUMPRODUCT(MAX((Escaleta!$A$5:$A$504=$B$4)*(Escaleta!$H$5:$H$504=F$6)*(Escaleta!$K$5:$K$504&lt;&gt;"Cancelada")*(Escaleta!$C$5:$C$504&lt;$A191+Configuración!$C$7/1440)*(Escaleta!$E$5:$E$504&gt;$A191)*ROW(Escaleta!$A$5:$A$504))))</f>
        <v/>
      </c>
      <c r="Q191" s="50">
        <f>IF(OR($A191="",G$6=""),0,SUMPRODUCT(MAX((Escaleta!$A$5:$A$504=$B$4)*(Escaleta!$H$5:$H$504=G$6)*(Escaleta!$K$5:$K$504&lt;&gt;"Cancelada")*(Escaleta!$C$5:$C$504&lt;$A191+Configuración!$C$7/1440)*(Escaleta!$E$5:$E$504&gt;$A191)*ROW(Escaleta!$A$5:$A$504))))</f>
        <v/>
      </c>
      <c r="R191" s="50">
        <f>IF(OR($A191="",H$6=""),0,SUMPRODUCT(MAX((Escaleta!$A$5:$A$504=$B$4)*(Escaleta!$H$5:$H$504=H$6)*(Escaleta!$K$5:$K$504&lt;&gt;"Cancelada")*(Escaleta!$C$5:$C$504&lt;$A191+Configuración!$C$7/1440)*(Escaleta!$E$5:$E$504&gt;$A191)*ROW(Escaleta!$A$5:$A$504))))</f>
        <v/>
      </c>
      <c r="S191" s="50">
        <f>IF(OR($A191="",I$6=""),0,SUMPRODUCT(MAX((Escaleta!$A$5:$A$504=$B$4)*(Escaleta!$H$5:$H$504=I$6)*(Escaleta!$K$5:$K$504&lt;&gt;"Cancelada")*(Escaleta!$C$5:$C$504&lt;$A191+Configuración!$C$7/1440)*(Escaleta!$E$5:$E$504&gt;$A191)*ROW(Escaleta!$A$5:$A$504))))</f>
        <v/>
      </c>
      <c r="U191" s="50">
        <f>IF(L191=0,"",INDEX(Escaleta!$I$1:$I$504,L191))</f>
        <v/>
      </c>
      <c r="V191" s="50">
        <f>IF(M191=0,"",INDEX(Escaleta!$I$1:$I$504,M191))</f>
        <v/>
      </c>
      <c r="W191" s="50">
        <f>IF(N191=0,"",INDEX(Escaleta!$I$1:$I$504,N191))</f>
        <v/>
      </c>
      <c r="X191" s="50">
        <f>IF(O191=0,"",INDEX(Escaleta!$I$1:$I$504,O191))</f>
        <v/>
      </c>
      <c r="Y191" s="50">
        <f>IF(P191=0,"",INDEX(Escaleta!$I$1:$I$504,P191))</f>
        <v/>
      </c>
      <c r="Z191" s="50">
        <f>IF(Q191=0,"",INDEX(Escaleta!$I$1:$I$504,Q191))</f>
        <v/>
      </c>
      <c r="AA191" s="50">
        <f>IF(R191=0,"",INDEX(Escaleta!$I$1:$I$504,R191))</f>
        <v/>
      </c>
      <c r="AB191" s="50">
        <f>IF(S191=0,"",INDEX(Escaleta!$I$1:$I$504,S191))</f>
        <v/>
      </c>
    </row>
    <row r="192" ht="18" customHeight="1">
      <c r="A192" s="48">
        <f>IF(A191="","",IF(A191+Configuración!$C$7/1440&gt;Configuración!$C$6-0.0001,"",A191+Configuración!$C$7/1440))</f>
        <v/>
      </c>
      <c r="B192" s="49">
        <f>IF(L192=0,"",IF(L192&lt;&gt;L191,INDEX(Escaleta!$F$1:$F$504,L192),IF(L192&lt;&gt;L190,TEXT(INDEX(Escaleta!$C$1:$C$504,L192),"hh:mm")&amp;"–"&amp;TEXT(INDEX(Escaleta!$E$1:$E$504,L192),"hh:mm"),"")))</f>
        <v/>
      </c>
      <c r="C192" s="49">
        <f>IF(M192=0,"",IF(M192&lt;&gt;M191,INDEX(Escaleta!$F$1:$F$504,M192),IF(M192&lt;&gt;M190,TEXT(INDEX(Escaleta!$C$1:$C$504,M192),"hh:mm")&amp;"–"&amp;TEXT(INDEX(Escaleta!$E$1:$E$504,M192),"hh:mm"),"")))</f>
        <v/>
      </c>
      <c r="D192" s="49">
        <f>IF(N192=0,"",IF(N192&lt;&gt;N191,INDEX(Escaleta!$F$1:$F$504,N192),IF(N192&lt;&gt;N190,TEXT(INDEX(Escaleta!$C$1:$C$504,N192),"hh:mm")&amp;"–"&amp;TEXT(INDEX(Escaleta!$E$1:$E$504,N192),"hh:mm"),"")))</f>
        <v/>
      </c>
      <c r="E192" s="49">
        <f>IF(O192=0,"",IF(O192&lt;&gt;O191,INDEX(Escaleta!$F$1:$F$504,O192),IF(O192&lt;&gt;O190,TEXT(INDEX(Escaleta!$C$1:$C$504,O192),"hh:mm")&amp;"–"&amp;TEXT(INDEX(Escaleta!$E$1:$E$504,O192),"hh:mm"),"")))</f>
        <v/>
      </c>
      <c r="F192" s="49">
        <f>IF(P192=0,"",IF(P192&lt;&gt;P191,INDEX(Escaleta!$F$1:$F$504,P192),IF(P192&lt;&gt;P190,TEXT(INDEX(Escaleta!$C$1:$C$504,P192),"hh:mm")&amp;"–"&amp;TEXT(INDEX(Escaleta!$E$1:$E$504,P192),"hh:mm"),"")))</f>
        <v/>
      </c>
      <c r="G192" s="49">
        <f>IF(Q192=0,"",IF(Q192&lt;&gt;Q191,INDEX(Escaleta!$F$1:$F$504,Q192),IF(Q192&lt;&gt;Q190,TEXT(INDEX(Escaleta!$C$1:$C$504,Q192),"hh:mm")&amp;"–"&amp;TEXT(INDEX(Escaleta!$E$1:$E$504,Q192),"hh:mm"),"")))</f>
        <v/>
      </c>
      <c r="H192" s="49">
        <f>IF(R192=0,"",IF(R192&lt;&gt;R191,INDEX(Escaleta!$F$1:$F$504,R192),IF(R192&lt;&gt;R190,TEXT(INDEX(Escaleta!$C$1:$C$504,R192),"hh:mm")&amp;"–"&amp;TEXT(INDEX(Escaleta!$E$1:$E$504,R192),"hh:mm"),"")))</f>
        <v/>
      </c>
      <c r="I192" s="49">
        <f>IF(S192=0,"",IF(S192&lt;&gt;S191,INDEX(Escaleta!$F$1:$F$504,S192),IF(S192&lt;&gt;S190,TEXT(INDEX(Escaleta!$C$1:$C$504,S192),"hh:mm")&amp;"–"&amp;TEXT(INDEX(Escaleta!$E$1:$E$504,S192),"hh:mm"),"")))</f>
        <v/>
      </c>
      <c r="L192" s="50">
        <f>IF(OR($A192="",B$6=""),0,SUMPRODUCT(MAX((Escaleta!$A$5:$A$504=$B$4)*(Escaleta!$H$5:$H$504=B$6)*(Escaleta!$K$5:$K$504&lt;&gt;"Cancelada")*(Escaleta!$C$5:$C$504&lt;$A192+Configuración!$C$7/1440)*(Escaleta!$E$5:$E$504&gt;$A192)*ROW(Escaleta!$A$5:$A$504))))</f>
        <v/>
      </c>
      <c r="M192" s="50">
        <f>IF(OR($A192="",C$6=""),0,SUMPRODUCT(MAX((Escaleta!$A$5:$A$504=$B$4)*(Escaleta!$H$5:$H$504=C$6)*(Escaleta!$K$5:$K$504&lt;&gt;"Cancelada")*(Escaleta!$C$5:$C$504&lt;$A192+Configuración!$C$7/1440)*(Escaleta!$E$5:$E$504&gt;$A192)*ROW(Escaleta!$A$5:$A$504))))</f>
        <v/>
      </c>
      <c r="N192" s="50">
        <f>IF(OR($A192="",D$6=""),0,SUMPRODUCT(MAX((Escaleta!$A$5:$A$504=$B$4)*(Escaleta!$H$5:$H$504=D$6)*(Escaleta!$K$5:$K$504&lt;&gt;"Cancelada")*(Escaleta!$C$5:$C$504&lt;$A192+Configuración!$C$7/1440)*(Escaleta!$E$5:$E$504&gt;$A192)*ROW(Escaleta!$A$5:$A$504))))</f>
        <v/>
      </c>
      <c r="O192" s="50">
        <f>IF(OR($A192="",E$6=""),0,SUMPRODUCT(MAX((Escaleta!$A$5:$A$504=$B$4)*(Escaleta!$H$5:$H$504=E$6)*(Escaleta!$K$5:$K$504&lt;&gt;"Cancelada")*(Escaleta!$C$5:$C$504&lt;$A192+Configuración!$C$7/1440)*(Escaleta!$E$5:$E$504&gt;$A192)*ROW(Escaleta!$A$5:$A$504))))</f>
        <v/>
      </c>
      <c r="P192" s="50">
        <f>IF(OR($A192="",F$6=""),0,SUMPRODUCT(MAX((Escaleta!$A$5:$A$504=$B$4)*(Escaleta!$H$5:$H$504=F$6)*(Escaleta!$K$5:$K$504&lt;&gt;"Cancelada")*(Escaleta!$C$5:$C$504&lt;$A192+Configuración!$C$7/1440)*(Escaleta!$E$5:$E$504&gt;$A192)*ROW(Escaleta!$A$5:$A$504))))</f>
        <v/>
      </c>
      <c r="Q192" s="50">
        <f>IF(OR($A192="",G$6=""),0,SUMPRODUCT(MAX((Escaleta!$A$5:$A$504=$B$4)*(Escaleta!$H$5:$H$504=G$6)*(Escaleta!$K$5:$K$504&lt;&gt;"Cancelada")*(Escaleta!$C$5:$C$504&lt;$A192+Configuración!$C$7/1440)*(Escaleta!$E$5:$E$504&gt;$A192)*ROW(Escaleta!$A$5:$A$504))))</f>
        <v/>
      </c>
      <c r="R192" s="50">
        <f>IF(OR($A192="",H$6=""),0,SUMPRODUCT(MAX((Escaleta!$A$5:$A$504=$B$4)*(Escaleta!$H$5:$H$504=H$6)*(Escaleta!$K$5:$K$504&lt;&gt;"Cancelada")*(Escaleta!$C$5:$C$504&lt;$A192+Configuración!$C$7/1440)*(Escaleta!$E$5:$E$504&gt;$A192)*ROW(Escaleta!$A$5:$A$504))))</f>
        <v/>
      </c>
      <c r="S192" s="50">
        <f>IF(OR($A192="",I$6=""),0,SUMPRODUCT(MAX((Escaleta!$A$5:$A$504=$B$4)*(Escaleta!$H$5:$H$504=I$6)*(Escaleta!$K$5:$K$504&lt;&gt;"Cancelada")*(Escaleta!$C$5:$C$504&lt;$A192+Configuración!$C$7/1440)*(Escaleta!$E$5:$E$504&gt;$A192)*ROW(Escaleta!$A$5:$A$504))))</f>
        <v/>
      </c>
      <c r="U192" s="50">
        <f>IF(L192=0,"",INDEX(Escaleta!$I$1:$I$504,L192))</f>
        <v/>
      </c>
      <c r="V192" s="50">
        <f>IF(M192=0,"",INDEX(Escaleta!$I$1:$I$504,M192))</f>
        <v/>
      </c>
      <c r="W192" s="50">
        <f>IF(N192=0,"",INDEX(Escaleta!$I$1:$I$504,N192))</f>
        <v/>
      </c>
      <c r="X192" s="50">
        <f>IF(O192=0,"",INDEX(Escaleta!$I$1:$I$504,O192))</f>
        <v/>
      </c>
      <c r="Y192" s="50">
        <f>IF(P192=0,"",INDEX(Escaleta!$I$1:$I$504,P192))</f>
        <v/>
      </c>
      <c r="Z192" s="50">
        <f>IF(Q192=0,"",INDEX(Escaleta!$I$1:$I$504,Q192))</f>
        <v/>
      </c>
      <c r="AA192" s="50">
        <f>IF(R192=0,"",INDEX(Escaleta!$I$1:$I$504,R192))</f>
        <v/>
      </c>
      <c r="AB192" s="50">
        <f>IF(S192=0,"",INDEX(Escaleta!$I$1:$I$504,S192))</f>
        <v/>
      </c>
    </row>
    <row r="193" ht="18" customHeight="1">
      <c r="A193" s="48">
        <f>IF(A192="","",IF(A192+Configuración!$C$7/1440&gt;Configuración!$C$6-0.0001,"",A192+Configuración!$C$7/1440))</f>
        <v/>
      </c>
      <c r="B193" s="49">
        <f>IF(L193=0,"",IF(L193&lt;&gt;L192,INDEX(Escaleta!$F$1:$F$504,L193),IF(L193&lt;&gt;L191,TEXT(INDEX(Escaleta!$C$1:$C$504,L193),"hh:mm")&amp;"–"&amp;TEXT(INDEX(Escaleta!$E$1:$E$504,L193),"hh:mm"),"")))</f>
        <v/>
      </c>
      <c r="C193" s="49">
        <f>IF(M193=0,"",IF(M193&lt;&gt;M192,INDEX(Escaleta!$F$1:$F$504,M193),IF(M193&lt;&gt;M191,TEXT(INDEX(Escaleta!$C$1:$C$504,M193),"hh:mm")&amp;"–"&amp;TEXT(INDEX(Escaleta!$E$1:$E$504,M193),"hh:mm"),"")))</f>
        <v/>
      </c>
      <c r="D193" s="49">
        <f>IF(N193=0,"",IF(N193&lt;&gt;N192,INDEX(Escaleta!$F$1:$F$504,N193),IF(N193&lt;&gt;N191,TEXT(INDEX(Escaleta!$C$1:$C$504,N193),"hh:mm")&amp;"–"&amp;TEXT(INDEX(Escaleta!$E$1:$E$504,N193),"hh:mm"),"")))</f>
        <v/>
      </c>
      <c r="E193" s="49">
        <f>IF(O193=0,"",IF(O193&lt;&gt;O192,INDEX(Escaleta!$F$1:$F$504,O193),IF(O193&lt;&gt;O191,TEXT(INDEX(Escaleta!$C$1:$C$504,O193),"hh:mm")&amp;"–"&amp;TEXT(INDEX(Escaleta!$E$1:$E$504,O193),"hh:mm"),"")))</f>
        <v/>
      </c>
      <c r="F193" s="49">
        <f>IF(P193=0,"",IF(P193&lt;&gt;P192,INDEX(Escaleta!$F$1:$F$504,P193),IF(P193&lt;&gt;P191,TEXT(INDEX(Escaleta!$C$1:$C$504,P193),"hh:mm")&amp;"–"&amp;TEXT(INDEX(Escaleta!$E$1:$E$504,P193),"hh:mm"),"")))</f>
        <v/>
      </c>
      <c r="G193" s="49">
        <f>IF(Q193=0,"",IF(Q193&lt;&gt;Q192,INDEX(Escaleta!$F$1:$F$504,Q193),IF(Q193&lt;&gt;Q191,TEXT(INDEX(Escaleta!$C$1:$C$504,Q193),"hh:mm")&amp;"–"&amp;TEXT(INDEX(Escaleta!$E$1:$E$504,Q193),"hh:mm"),"")))</f>
        <v/>
      </c>
      <c r="H193" s="49">
        <f>IF(R193=0,"",IF(R193&lt;&gt;R192,INDEX(Escaleta!$F$1:$F$504,R193),IF(R193&lt;&gt;R191,TEXT(INDEX(Escaleta!$C$1:$C$504,R193),"hh:mm")&amp;"–"&amp;TEXT(INDEX(Escaleta!$E$1:$E$504,R193),"hh:mm"),"")))</f>
        <v/>
      </c>
      <c r="I193" s="49">
        <f>IF(S193=0,"",IF(S193&lt;&gt;S192,INDEX(Escaleta!$F$1:$F$504,S193),IF(S193&lt;&gt;S191,TEXT(INDEX(Escaleta!$C$1:$C$504,S193),"hh:mm")&amp;"–"&amp;TEXT(INDEX(Escaleta!$E$1:$E$504,S193),"hh:mm"),"")))</f>
        <v/>
      </c>
      <c r="L193" s="50">
        <f>IF(OR($A193="",B$6=""),0,SUMPRODUCT(MAX((Escaleta!$A$5:$A$504=$B$4)*(Escaleta!$H$5:$H$504=B$6)*(Escaleta!$K$5:$K$504&lt;&gt;"Cancelada")*(Escaleta!$C$5:$C$504&lt;$A193+Configuración!$C$7/1440)*(Escaleta!$E$5:$E$504&gt;$A193)*ROW(Escaleta!$A$5:$A$504))))</f>
        <v/>
      </c>
      <c r="M193" s="50">
        <f>IF(OR($A193="",C$6=""),0,SUMPRODUCT(MAX((Escaleta!$A$5:$A$504=$B$4)*(Escaleta!$H$5:$H$504=C$6)*(Escaleta!$K$5:$K$504&lt;&gt;"Cancelada")*(Escaleta!$C$5:$C$504&lt;$A193+Configuración!$C$7/1440)*(Escaleta!$E$5:$E$504&gt;$A193)*ROW(Escaleta!$A$5:$A$504))))</f>
        <v/>
      </c>
      <c r="N193" s="50">
        <f>IF(OR($A193="",D$6=""),0,SUMPRODUCT(MAX((Escaleta!$A$5:$A$504=$B$4)*(Escaleta!$H$5:$H$504=D$6)*(Escaleta!$K$5:$K$504&lt;&gt;"Cancelada")*(Escaleta!$C$5:$C$504&lt;$A193+Configuración!$C$7/1440)*(Escaleta!$E$5:$E$504&gt;$A193)*ROW(Escaleta!$A$5:$A$504))))</f>
        <v/>
      </c>
      <c r="O193" s="50">
        <f>IF(OR($A193="",E$6=""),0,SUMPRODUCT(MAX((Escaleta!$A$5:$A$504=$B$4)*(Escaleta!$H$5:$H$504=E$6)*(Escaleta!$K$5:$K$504&lt;&gt;"Cancelada")*(Escaleta!$C$5:$C$504&lt;$A193+Configuración!$C$7/1440)*(Escaleta!$E$5:$E$504&gt;$A193)*ROW(Escaleta!$A$5:$A$504))))</f>
        <v/>
      </c>
      <c r="P193" s="50">
        <f>IF(OR($A193="",F$6=""),0,SUMPRODUCT(MAX((Escaleta!$A$5:$A$504=$B$4)*(Escaleta!$H$5:$H$504=F$6)*(Escaleta!$K$5:$K$504&lt;&gt;"Cancelada")*(Escaleta!$C$5:$C$504&lt;$A193+Configuración!$C$7/1440)*(Escaleta!$E$5:$E$504&gt;$A193)*ROW(Escaleta!$A$5:$A$504))))</f>
        <v/>
      </c>
      <c r="Q193" s="50">
        <f>IF(OR($A193="",G$6=""),0,SUMPRODUCT(MAX((Escaleta!$A$5:$A$504=$B$4)*(Escaleta!$H$5:$H$504=G$6)*(Escaleta!$K$5:$K$504&lt;&gt;"Cancelada")*(Escaleta!$C$5:$C$504&lt;$A193+Configuración!$C$7/1440)*(Escaleta!$E$5:$E$504&gt;$A193)*ROW(Escaleta!$A$5:$A$504))))</f>
        <v/>
      </c>
      <c r="R193" s="50">
        <f>IF(OR($A193="",H$6=""),0,SUMPRODUCT(MAX((Escaleta!$A$5:$A$504=$B$4)*(Escaleta!$H$5:$H$504=H$6)*(Escaleta!$K$5:$K$504&lt;&gt;"Cancelada")*(Escaleta!$C$5:$C$504&lt;$A193+Configuración!$C$7/1440)*(Escaleta!$E$5:$E$504&gt;$A193)*ROW(Escaleta!$A$5:$A$504))))</f>
        <v/>
      </c>
      <c r="S193" s="50">
        <f>IF(OR($A193="",I$6=""),0,SUMPRODUCT(MAX((Escaleta!$A$5:$A$504=$B$4)*(Escaleta!$H$5:$H$504=I$6)*(Escaleta!$K$5:$K$504&lt;&gt;"Cancelada")*(Escaleta!$C$5:$C$504&lt;$A193+Configuración!$C$7/1440)*(Escaleta!$E$5:$E$504&gt;$A193)*ROW(Escaleta!$A$5:$A$504))))</f>
        <v/>
      </c>
      <c r="U193" s="50">
        <f>IF(L193=0,"",INDEX(Escaleta!$I$1:$I$504,L193))</f>
        <v/>
      </c>
      <c r="V193" s="50">
        <f>IF(M193=0,"",INDEX(Escaleta!$I$1:$I$504,M193))</f>
        <v/>
      </c>
      <c r="W193" s="50">
        <f>IF(N193=0,"",INDEX(Escaleta!$I$1:$I$504,N193))</f>
        <v/>
      </c>
      <c r="X193" s="50">
        <f>IF(O193=0,"",INDEX(Escaleta!$I$1:$I$504,O193))</f>
        <v/>
      </c>
      <c r="Y193" s="50">
        <f>IF(P193=0,"",INDEX(Escaleta!$I$1:$I$504,P193))</f>
        <v/>
      </c>
      <c r="Z193" s="50">
        <f>IF(Q193=0,"",INDEX(Escaleta!$I$1:$I$504,Q193))</f>
        <v/>
      </c>
      <c r="AA193" s="50">
        <f>IF(R193=0,"",INDEX(Escaleta!$I$1:$I$504,R193))</f>
        <v/>
      </c>
      <c r="AB193" s="50">
        <f>IF(S193=0,"",INDEX(Escaleta!$I$1:$I$504,S193))</f>
        <v/>
      </c>
    </row>
    <row r="194" ht="18" customHeight="1">
      <c r="A194" s="48">
        <f>IF(A193="","",IF(A193+Configuración!$C$7/1440&gt;Configuración!$C$6-0.0001,"",A193+Configuración!$C$7/1440))</f>
        <v/>
      </c>
      <c r="B194" s="49">
        <f>IF(L194=0,"",IF(L194&lt;&gt;L193,INDEX(Escaleta!$F$1:$F$504,L194),IF(L194&lt;&gt;L192,TEXT(INDEX(Escaleta!$C$1:$C$504,L194),"hh:mm")&amp;"–"&amp;TEXT(INDEX(Escaleta!$E$1:$E$504,L194),"hh:mm"),"")))</f>
        <v/>
      </c>
      <c r="C194" s="49">
        <f>IF(M194=0,"",IF(M194&lt;&gt;M193,INDEX(Escaleta!$F$1:$F$504,M194),IF(M194&lt;&gt;M192,TEXT(INDEX(Escaleta!$C$1:$C$504,M194),"hh:mm")&amp;"–"&amp;TEXT(INDEX(Escaleta!$E$1:$E$504,M194),"hh:mm"),"")))</f>
        <v/>
      </c>
      <c r="D194" s="49">
        <f>IF(N194=0,"",IF(N194&lt;&gt;N193,INDEX(Escaleta!$F$1:$F$504,N194),IF(N194&lt;&gt;N192,TEXT(INDEX(Escaleta!$C$1:$C$504,N194),"hh:mm")&amp;"–"&amp;TEXT(INDEX(Escaleta!$E$1:$E$504,N194),"hh:mm"),"")))</f>
        <v/>
      </c>
      <c r="E194" s="49">
        <f>IF(O194=0,"",IF(O194&lt;&gt;O193,INDEX(Escaleta!$F$1:$F$504,O194),IF(O194&lt;&gt;O192,TEXT(INDEX(Escaleta!$C$1:$C$504,O194),"hh:mm")&amp;"–"&amp;TEXT(INDEX(Escaleta!$E$1:$E$504,O194),"hh:mm"),"")))</f>
        <v/>
      </c>
      <c r="F194" s="49">
        <f>IF(P194=0,"",IF(P194&lt;&gt;P193,INDEX(Escaleta!$F$1:$F$504,P194),IF(P194&lt;&gt;P192,TEXT(INDEX(Escaleta!$C$1:$C$504,P194),"hh:mm")&amp;"–"&amp;TEXT(INDEX(Escaleta!$E$1:$E$504,P194),"hh:mm"),"")))</f>
        <v/>
      </c>
      <c r="G194" s="49">
        <f>IF(Q194=0,"",IF(Q194&lt;&gt;Q193,INDEX(Escaleta!$F$1:$F$504,Q194),IF(Q194&lt;&gt;Q192,TEXT(INDEX(Escaleta!$C$1:$C$504,Q194),"hh:mm")&amp;"–"&amp;TEXT(INDEX(Escaleta!$E$1:$E$504,Q194),"hh:mm"),"")))</f>
        <v/>
      </c>
      <c r="H194" s="49">
        <f>IF(R194=0,"",IF(R194&lt;&gt;R193,INDEX(Escaleta!$F$1:$F$504,R194),IF(R194&lt;&gt;R192,TEXT(INDEX(Escaleta!$C$1:$C$504,R194),"hh:mm")&amp;"–"&amp;TEXT(INDEX(Escaleta!$E$1:$E$504,R194),"hh:mm"),"")))</f>
        <v/>
      </c>
      <c r="I194" s="49">
        <f>IF(S194=0,"",IF(S194&lt;&gt;S193,INDEX(Escaleta!$F$1:$F$504,S194),IF(S194&lt;&gt;S192,TEXT(INDEX(Escaleta!$C$1:$C$504,S194),"hh:mm")&amp;"–"&amp;TEXT(INDEX(Escaleta!$E$1:$E$504,S194),"hh:mm"),"")))</f>
        <v/>
      </c>
      <c r="L194" s="50">
        <f>IF(OR($A194="",B$6=""),0,SUMPRODUCT(MAX((Escaleta!$A$5:$A$504=$B$4)*(Escaleta!$H$5:$H$504=B$6)*(Escaleta!$K$5:$K$504&lt;&gt;"Cancelada")*(Escaleta!$C$5:$C$504&lt;$A194+Configuración!$C$7/1440)*(Escaleta!$E$5:$E$504&gt;$A194)*ROW(Escaleta!$A$5:$A$504))))</f>
        <v/>
      </c>
      <c r="M194" s="50">
        <f>IF(OR($A194="",C$6=""),0,SUMPRODUCT(MAX((Escaleta!$A$5:$A$504=$B$4)*(Escaleta!$H$5:$H$504=C$6)*(Escaleta!$K$5:$K$504&lt;&gt;"Cancelada")*(Escaleta!$C$5:$C$504&lt;$A194+Configuración!$C$7/1440)*(Escaleta!$E$5:$E$504&gt;$A194)*ROW(Escaleta!$A$5:$A$504))))</f>
        <v/>
      </c>
      <c r="N194" s="50">
        <f>IF(OR($A194="",D$6=""),0,SUMPRODUCT(MAX((Escaleta!$A$5:$A$504=$B$4)*(Escaleta!$H$5:$H$504=D$6)*(Escaleta!$K$5:$K$504&lt;&gt;"Cancelada")*(Escaleta!$C$5:$C$504&lt;$A194+Configuración!$C$7/1440)*(Escaleta!$E$5:$E$504&gt;$A194)*ROW(Escaleta!$A$5:$A$504))))</f>
        <v/>
      </c>
      <c r="O194" s="50">
        <f>IF(OR($A194="",E$6=""),0,SUMPRODUCT(MAX((Escaleta!$A$5:$A$504=$B$4)*(Escaleta!$H$5:$H$504=E$6)*(Escaleta!$K$5:$K$504&lt;&gt;"Cancelada")*(Escaleta!$C$5:$C$504&lt;$A194+Configuración!$C$7/1440)*(Escaleta!$E$5:$E$504&gt;$A194)*ROW(Escaleta!$A$5:$A$504))))</f>
        <v/>
      </c>
      <c r="P194" s="50">
        <f>IF(OR($A194="",F$6=""),0,SUMPRODUCT(MAX((Escaleta!$A$5:$A$504=$B$4)*(Escaleta!$H$5:$H$504=F$6)*(Escaleta!$K$5:$K$504&lt;&gt;"Cancelada")*(Escaleta!$C$5:$C$504&lt;$A194+Configuración!$C$7/1440)*(Escaleta!$E$5:$E$504&gt;$A194)*ROW(Escaleta!$A$5:$A$504))))</f>
        <v/>
      </c>
      <c r="Q194" s="50">
        <f>IF(OR($A194="",G$6=""),0,SUMPRODUCT(MAX((Escaleta!$A$5:$A$504=$B$4)*(Escaleta!$H$5:$H$504=G$6)*(Escaleta!$K$5:$K$504&lt;&gt;"Cancelada")*(Escaleta!$C$5:$C$504&lt;$A194+Configuración!$C$7/1440)*(Escaleta!$E$5:$E$504&gt;$A194)*ROW(Escaleta!$A$5:$A$504))))</f>
        <v/>
      </c>
      <c r="R194" s="50">
        <f>IF(OR($A194="",H$6=""),0,SUMPRODUCT(MAX((Escaleta!$A$5:$A$504=$B$4)*(Escaleta!$H$5:$H$504=H$6)*(Escaleta!$K$5:$K$504&lt;&gt;"Cancelada")*(Escaleta!$C$5:$C$504&lt;$A194+Configuración!$C$7/1440)*(Escaleta!$E$5:$E$504&gt;$A194)*ROW(Escaleta!$A$5:$A$504))))</f>
        <v/>
      </c>
      <c r="S194" s="50">
        <f>IF(OR($A194="",I$6=""),0,SUMPRODUCT(MAX((Escaleta!$A$5:$A$504=$B$4)*(Escaleta!$H$5:$H$504=I$6)*(Escaleta!$K$5:$K$504&lt;&gt;"Cancelada")*(Escaleta!$C$5:$C$504&lt;$A194+Configuración!$C$7/1440)*(Escaleta!$E$5:$E$504&gt;$A194)*ROW(Escaleta!$A$5:$A$504))))</f>
        <v/>
      </c>
      <c r="U194" s="50">
        <f>IF(L194=0,"",INDEX(Escaleta!$I$1:$I$504,L194))</f>
        <v/>
      </c>
      <c r="V194" s="50">
        <f>IF(M194=0,"",INDEX(Escaleta!$I$1:$I$504,M194))</f>
        <v/>
      </c>
      <c r="W194" s="50">
        <f>IF(N194=0,"",INDEX(Escaleta!$I$1:$I$504,N194))</f>
        <v/>
      </c>
      <c r="X194" s="50">
        <f>IF(O194=0,"",INDEX(Escaleta!$I$1:$I$504,O194))</f>
        <v/>
      </c>
      <c r="Y194" s="50">
        <f>IF(P194=0,"",INDEX(Escaleta!$I$1:$I$504,P194))</f>
        <v/>
      </c>
      <c r="Z194" s="50">
        <f>IF(Q194=0,"",INDEX(Escaleta!$I$1:$I$504,Q194))</f>
        <v/>
      </c>
      <c r="AA194" s="50">
        <f>IF(R194=0,"",INDEX(Escaleta!$I$1:$I$504,R194))</f>
        <v/>
      </c>
      <c r="AB194" s="50">
        <f>IF(S194=0,"",INDEX(Escaleta!$I$1:$I$504,S194))</f>
        <v/>
      </c>
    </row>
    <row r="195" ht="18" customHeight="1">
      <c r="A195" s="48">
        <f>IF(A194="","",IF(A194+Configuración!$C$7/1440&gt;Configuración!$C$6-0.0001,"",A194+Configuración!$C$7/1440))</f>
        <v/>
      </c>
      <c r="B195" s="49">
        <f>IF(L195=0,"",IF(L195&lt;&gt;L194,INDEX(Escaleta!$F$1:$F$504,L195),IF(L195&lt;&gt;L193,TEXT(INDEX(Escaleta!$C$1:$C$504,L195),"hh:mm")&amp;"–"&amp;TEXT(INDEX(Escaleta!$E$1:$E$504,L195),"hh:mm"),"")))</f>
        <v/>
      </c>
      <c r="C195" s="49">
        <f>IF(M195=0,"",IF(M195&lt;&gt;M194,INDEX(Escaleta!$F$1:$F$504,M195),IF(M195&lt;&gt;M193,TEXT(INDEX(Escaleta!$C$1:$C$504,M195),"hh:mm")&amp;"–"&amp;TEXT(INDEX(Escaleta!$E$1:$E$504,M195),"hh:mm"),"")))</f>
        <v/>
      </c>
      <c r="D195" s="49">
        <f>IF(N195=0,"",IF(N195&lt;&gt;N194,INDEX(Escaleta!$F$1:$F$504,N195),IF(N195&lt;&gt;N193,TEXT(INDEX(Escaleta!$C$1:$C$504,N195),"hh:mm")&amp;"–"&amp;TEXT(INDEX(Escaleta!$E$1:$E$504,N195),"hh:mm"),"")))</f>
        <v/>
      </c>
      <c r="E195" s="49">
        <f>IF(O195=0,"",IF(O195&lt;&gt;O194,INDEX(Escaleta!$F$1:$F$504,O195),IF(O195&lt;&gt;O193,TEXT(INDEX(Escaleta!$C$1:$C$504,O195),"hh:mm")&amp;"–"&amp;TEXT(INDEX(Escaleta!$E$1:$E$504,O195),"hh:mm"),"")))</f>
        <v/>
      </c>
      <c r="F195" s="49">
        <f>IF(P195=0,"",IF(P195&lt;&gt;P194,INDEX(Escaleta!$F$1:$F$504,P195),IF(P195&lt;&gt;P193,TEXT(INDEX(Escaleta!$C$1:$C$504,P195),"hh:mm")&amp;"–"&amp;TEXT(INDEX(Escaleta!$E$1:$E$504,P195),"hh:mm"),"")))</f>
        <v/>
      </c>
      <c r="G195" s="49">
        <f>IF(Q195=0,"",IF(Q195&lt;&gt;Q194,INDEX(Escaleta!$F$1:$F$504,Q195),IF(Q195&lt;&gt;Q193,TEXT(INDEX(Escaleta!$C$1:$C$504,Q195),"hh:mm")&amp;"–"&amp;TEXT(INDEX(Escaleta!$E$1:$E$504,Q195),"hh:mm"),"")))</f>
        <v/>
      </c>
      <c r="H195" s="49">
        <f>IF(R195=0,"",IF(R195&lt;&gt;R194,INDEX(Escaleta!$F$1:$F$504,R195),IF(R195&lt;&gt;R193,TEXT(INDEX(Escaleta!$C$1:$C$504,R195),"hh:mm")&amp;"–"&amp;TEXT(INDEX(Escaleta!$E$1:$E$504,R195),"hh:mm"),"")))</f>
        <v/>
      </c>
      <c r="I195" s="49">
        <f>IF(S195=0,"",IF(S195&lt;&gt;S194,INDEX(Escaleta!$F$1:$F$504,S195),IF(S195&lt;&gt;S193,TEXT(INDEX(Escaleta!$C$1:$C$504,S195),"hh:mm")&amp;"–"&amp;TEXT(INDEX(Escaleta!$E$1:$E$504,S195),"hh:mm"),"")))</f>
        <v/>
      </c>
      <c r="L195" s="50">
        <f>IF(OR($A195="",B$6=""),0,SUMPRODUCT(MAX((Escaleta!$A$5:$A$504=$B$4)*(Escaleta!$H$5:$H$504=B$6)*(Escaleta!$K$5:$K$504&lt;&gt;"Cancelada")*(Escaleta!$C$5:$C$504&lt;$A195+Configuración!$C$7/1440)*(Escaleta!$E$5:$E$504&gt;$A195)*ROW(Escaleta!$A$5:$A$504))))</f>
        <v/>
      </c>
      <c r="M195" s="50">
        <f>IF(OR($A195="",C$6=""),0,SUMPRODUCT(MAX((Escaleta!$A$5:$A$504=$B$4)*(Escaleta!$H$5:$H$504=C$6)*(Escaleta!$K$5:$K$504&lt;&gt;"Cancelada")*(Escaleta!$C$5:$C$504&lt;$A195+Configuración!$C$7/1440)*(Escaleta!$E$5:$E$504&gt;$A195)*ROW(Escaleta!$A$5:$A$504))))</f>
        <v/>
      </c>
      <c r="N195" s="50">
        <f>IF(OR($A195="",D$6=""),0,SUMPRODUCT(MAX((Escaleta!$A$5:$A$504=$B$4)*(Escaleta!$H$5:$H$504=D$6)*(Escaleta!$K$5:$K$504&lt;&gt;"Cancelada")*(Escaleta!$C$5:$C$504&lt;$A195+Configuración!$C$7/1440)*(Escaleta!$E$5:$E$504&gt;$A195)*ROW(Escaleta!$A$5:$A$504))))</f>
        <v/>
      </c>
      <c r="O195" s="50">
        <f>IF(OR($A195="",E$6=""),0,SUMPRODUCT(MAX((Escaleta!$A$5:$A$504=$B$4)*(Escaleta!$H$5:$H$504=E$6)*(Escaleta!$K$5:$K$504&lt;&gt;"Cancelada")*(Escaleta!$C$5:$C$504&lt;$A195+Configuración!$C$7/1440)*(Escaleta!$E$5:$E$504&gt;$A195)*ROW(Escaleta!$A$5:$A$504))))</f>
        <v/>
      </c>
      <c r="P195" s="50">
        <f>IF(OR($A195="",F$6=""),0,SUMPRODUCT(MAX((Escaleta!$A$5:$A$504=$B$4)*(Escaleta!$H$5:$H$504=F$6)*(Escaleta!$K$5:$K$504&lt;&gt;"Cancelada")*(Escaleta!$C$5:$C$504&lt;$A195+Configuración!$C$7/1440)*(Escaleta!$E$5:$E$504&gt;$A195)*ROW(Escaleta!$A$5:$A$504))))</f>
        <v/>
      </c>
      <c r="Q195" s="50">
        <f>IF(OR($A195="",G$6=""),0,SUMPRODUCT(MAX((Escaleta!$A$5:$A$504=$B$4)*(Escaleta!$H$5:$H$504=G$6)*(Escaleta!$K$5:$K$504&lt;&gt;"Cancelada")*(Escaleta!$C$5:$C$504&lt;$A195+Configuración!$C$7/1440)*(Escaleta!$E$5:$E$504&gt;$A195)*ROW(Escaleta!$A$5:$A$504))))</f>
        <v/>
      </c>
      <c r="R195" s="50">
        <f>IF(OR($A195="",H$6=""),0,SUMPRODUCT(MAX((Escaleta!$A$5:$A$504=$B$4)*(Escaleta!$H$5:$H$504=H$6)*(Escaleta!$K$5:$K$504&lt;&gt;"Cancelada")*(Escaleta!$C$5:$C$504&lt;$A195+Configuración!$C$7/1440)*(Escaleta!$E$5:$E$504&gt;$A195)*ROW(Escaleta!$A$5:$A$504))))</f>
        <v/>
      </c>
      <c r="S195" s="50">
        <f>IF(OR($A195="",I$6=""),0,SUMPRODUCT(MAX((Escaleta!$A$5:$A$504=$B$4)*(Escaleta!$H$5:$H$504=I$6)*(Escaleta!$K$5:$K$504&lt;&gt;"Cancelada")*(Escaleta!$C$5:$C$504&lt;$A195+Configuración!$C$7/1440)*(Escaleta!$E$5:$E$504&gt;$A195)*ROW(Escaleta!$A$5:$A$504))))</f>
        <v/>
      </c>
      <c r="U195" s="50">
        <f>IF(L195=0,"",INDEX(Escaleta!$I$1:$I$504,L195))</f>
        <v/>
      </c>
      <c r="V195" s="50">
        <f>IF(M195=0,"",INDEX(Escaleta!$I$1:$I$504,M195))</f>
        <v/>
      </c>
      <c r="W195" s="50">
        <f>IF(N195=0,"",INDEX(Escaleta!$I$1:$I$504,N195))</f>
        <v/>
      </c>
      <c r="X195" s="50">
        <f>IF(O195=0,"",INDEX(Escaleta!$I$1:$I$504,O195))</f>
        <v/>
      </c>
      <c r="Y195" s="50">
        <f>IF(P195=0,"",INDEX(Escaleta!$I$1:$I$504,P195))</f>
        <v/>
      </c>
      <c r="Z195" s="50">
        <f>IF(Q195=0,"",INDEX(Escaleta!$I$1:$I$504,Q195))</f>
        <v/>
      </c>
      <c r="AA195" s="50">
        <f>IF(R195=0,"",INDEX(Escaleta!$I$1:$I$504,R195))</f>
        <v/>
      </c>
      <c r="AB195" s="50">
        <f>IF(S195=0,"",INDEX(Escaleta!$I$1:$I$504,S195))</f>
        <v/>
      </c>
    </row>
    <row r="196" ht="18" customHeight="1">
      <c r="A196" s="48">
        <f>IF(A195="","",IF(A195+Configuración!$C$7/1440&gt;Configuración!$C$6-0.0001,"",A195+Configuración!$C$7/1440))</f>
        <v/>
      </c>
      <c r="B196" s="49">
        <f>IF(L196=0,"",IF(L196&lt;&gt;L195,INDEX(Escaleta!$F$1:$F$504,L196),IF(L196&lt;&gt;L194,TEXT(INDEX(Escaleta!$C$1:$C$504,L196),"hh:mm")&amp;"–"&amp;TEXT(INDEX(Escaleta!$E$1:$E$504,L196),"hh:mm"),"")))</f>
        <v/>
      </c>
      <c r="C196" s="49">
        <f>IF(M196=0,"",IF(M196&lt;&gt;M195,INDEX(Escaleta!$F$1:$F$504,M196),IF(M196&lt;&gt;M194,TEXT(INDEX(Escaleta!$C$1:$C$504,M196),"hh:mm")&amp;"–"&amp;TEXT(INDEX(Escaleta!$E$1:$E$504,M196),"hh:mm"),"")))</f>
        <v/>
      </c>
      <c r="D196" s="49">
        <f>IF(N196=0,"",IF(N196&lt;&gt;N195,INDEX(Escaleta!$F$1:$F$504,N196),IF(N196&lt;&gt;N194,TEXT(INDEX(Escaleta!$C$1:$C$504,N196),"hh:mm")&amp;"–"&amp;TEXT(INDEX(Escaleta!$E$1:$E$504,N196),"hh:mm"),"")))</f>
        <v/>
      </c>
      <c r="E196" s="49">
        <f>IF(O196=0,"",IF(O196&lt;&gt;O195,INDEX(Escaleta!$F$1:$F$504,O196),IF(O196&lt;&gt;O194,TEXT(INDEX(Escaleta!$C$1:$C$504,O196),"hh:mm")&amp;"–"&amp;TEXT(INDEX(Escaleta!$E$1:$E$504,O196),"hh:mm"),"")))</f>
        <v/>
      </c>
      <c r="F196" s="49">
        <f>IF(P196=0,"",IF(P196&lt;&gt;P195,INDEX(Escaleta!$F$1:$F$504,P196),IF(P196&lt;&gt;P194,TEXT(INDEX(Escaleta!$C$1:$C$504,P196),"hh:mm")&amp;"–"&amp;TEXT(INDEX(Escaleta!$E$1:$E$504,P196),"hh:mm"),"")))</f>
        <v/>
      </c>
      <c r="G196" s="49">
        <f>IF(Q196=0,"",IF(Q196&lt;&gt;Q195,INDEX(Escaleta!$F$1:$F$504,Q196),IF(Q196&lt;&gt;Q194,TEXT(INDEX(Escaleta!$C$1:$C$504,Q196),"hh:mm")&amp;"–"&amp;TEXT(INDEX(Escaleta!$E$1:$E$504,Q196),"hh:mm"),"")))</f>
        <v/>
      </c>
      <c r="H196" s="49">
        <f>IF(R196=0,"",IF(R196&lt;&gt;R195,INDEX(Escaleta!$F$1:$F$504,R196),IF(R196&lt;&gt;R194,TEXT(INDEX(Escaleta!$C$1:$C$504,R196),"hh:mm")&amp;"–"&amp;TEXT(INDEX(Escaleta!$E$1:$E$504,R196),"hh:mm"),"")))</f>
        <v/>
      </c>
      <c r="I196" s="49">
        <f>IF(S196=0,"",IF(S196&lt;&gt;S195,INDEX(Escaleta!$F$1:$F$504,S196),IF(S196&lt;&gt;S194,TEXT(INDEX(Escaleta!$C$1:$C$504,S196),"hh:mm")&amp;"–"&amp;TEXT(INDEX(Escaleta!$E$1:$E$504,S196),"hh:mm"),"")))</f>
        <v/>
      </c>
      <c r="L196" s="50">
        <f>IF(OR($A196="",B$6=""),0,SUMPRODUCT(MAX((Escaleta!$A$5:$A$504=$B$4)*(Escaleta!$H$5:$H$504=B$6)*(Escaleta!$K$5:$K$504&lt;&gt;"Cancelada")*(Escaleta!$C$5:$C$504&lt;$A196+Configuración!$C$7/1440)*(Escaleta!$E$5:$E$504&gt;$A196)*ROW(Escaleta!$A$5:$A$504))))</f>
        <v/>
      </c>
      <c r="M196" s="50">
        <f>IF(OR($A196="",C$6=""),0,SUMPRODUCT(MAX((Escaleta!$A$5:$A$504=$B$4)*(Escaleta!$H$5:$H$504=C$6)*(Escaleta!$K$5:$K$504&lt;&gt;"Cancelada")*(Escaleta!$C$5:$C$504&lt;$A196+Configuración!$C$7/1440)*(Escaleta!$E$5:$E$504&gt;$A196)*ROW(Escaleta!$A$5:$A$504))))</f>
        <v/>
      </c>
      <c r="N196" s="50">
        <f>IF(OR($A196="",D$6=""),0,SUMPRODUCT(MAX((Escaleta!$A$5:$A$504=$B$4)*(Escaleta!$H$5:$H$504=D$6)*(Escaleta!$K$5:$K$504&lt;&gt;"Cancelada")*(Escaleta!$C$5:$C$504&lt;$A196+Configuración!$C$7/1440)*(Escaleta!$E$5:$E$504&gt;$A196)*ROW(Escaleta!$A$5:$A$504))))</f>
        <v/>
      </c>
      <c r="O196" s="50">
        <f>IF(OR($A196="",E$6=""),0,SUMPRODUCT(MAX((Escaleta!$A$5:$A$504=$B$4)*(Escaleta!$H$5:$H$504=E$6)*(Escaleta!$K$5:$K$504&lt;&gt;"Cancelada")*(Escaleta!$C$5:$C$504&lt;$A196+Configuración!$C$7/1440)*(Escaleta!$E$5:$E$504&gt;$A196)*ROW(Escaleta!$A$5:$A$504))))</f>
        <v/>
      </c>
      <c r="P196" s="50">
        <f>IF(OR($A196="",F$6=""),0,SUMPRODUCT(MAX((Escaleta!$A$5:$A$504=$B$4)*(Escaleta!$H$5:$H$504=F$6)*(Escaleta!$K$5:$K$504&lt;&gt;"Cancelada")*(Escaleta!$C$5:$C$504&lt;$A196+Configuración!$C$7/1440)*(Escaleta!$E$5:$E$504&gt;$A196)*ROW(Escaleta!$A$5:$A$504))))</f>
        <v/>
      </c>
      <c r="Q196" s="50">
        <f>IF(OR($A196="",G$6=""),0,SUMPRODUCT(MAX((Escaleta!$A$5:$A$504=$B$4)*(Escaleta!$H$5:$H$504=G$6)*(Escaleta!$K$5:$K$504&lt;&gt;"Cancelada")*(Escaleta!$C$5:$C$504&lt;$A196+Configuración!$C$7/1440)*(Escaleta!$E$5:$E$504&gt;$A196)*ROW(Escaleta!$A$5:$A$504))))</f>
        <v/>
      </c>
      <c r="R196" s="50">
        <f>IF(OR($A196="",H$6=""),0,SUMPRODUCT(MAX((Escaleta!$A$5:$A$504=$B$4)*(Escaleta!$H$5:$H$504=H$6)*(Escaleta!$K$5:$K$504&lt;&gt;"Cancelada")*(Escaleta!$C$5:$C$504&lt;$A196+Configuración!$C$7/1440)*(Escaleta!$E$5:$E$504&gt;$A196)*ROW(Escaleta!$A$5:$A$504))))</f>
        <v/>
      </c>
      <c r="S196" s="50">
        <f>IF(OR($A196="",I$6=""),0,SUMPRODUCT(MAX((Escaleta!$A$5:$A$504=$B$4)*(Escaleta!$H$5:$H$504=I$6)*(Escaleta!$K$5:$K$504&lt;&gt;"Cancelada")*(Escaleta!$C$5:$C$504&lt;$A196+Configuración!$C$7/1440)*(Escaleta!$E$5:$E$504&gt;$A196)*ROW(Escaleta!$A$5:$A$504))))</f>
        <v/>
      </c>
      <c r="U196" s="50">
        <f>IF(L196=0,"",INDEX(Escaleta!$I$1:$I$504,L196))</f>
        <v/>
      </c>
      <c r="V196" s="50">
        <f>IF(M196=0,"",INDEX(Escaleta!$I$1:$I$504,M196))</f>
        <v/>
      </c>
      <c r="W196" s="50">
        <f>IF(N196=0,"",INDEX(Escaleta!$I$1:$I$504,N196))</f>
        <v/>
      </c>
      <c r="X196" s="50">
        <f>IF(O196=0,"",INDEX(Escaleta!$I$1:$I$504,O196))</f>
        <v/>
      </c>
      <c r="Y196" s="50">
        <f>IF(P196=0,"",INDEX(Escaleta!$I$1:$I$504,P196))</f>
        <v/>
      </c>
      <c r="Z196" s="50">
        <f>IF(Q196=0,"",INDEX(Escaleta!$I$1:$I$504,Q196))</f>
        <v/>
      </c>
      <c r="AA196" s="50">
        <f>IF(R196=0,"",INDEX(Escaleta!$I$1:$I$504,R196))</f>
        <v/>
      </c>
      <c r="AB196" s="50">
        <f>IF(S196=0,"",INDEX(Escaleta!$I$1:$I$504,S196))</f>
        <v/>
      </c>
    </row>
    <row r="197" ht="18" customHeight="1">
      <c r="A197" s="48">
        <f>IF(A196="","",IF(A196+Configuración!$C$7/1440&gt;Configuración!$C$6-0.0001,"",A196+Configuración!$C$7/1440))</f>
        <v/>
      </c>
      <c r="B197" s="49">
        <f>IF(L197=0,"",IF(L197&lt;&gt;L196,INDEX(Escaleta!$F$1:$F$504,L197),IF(L197&lt;&gt;L195,TEXT(INDEX(Escaleta!$C$1:$C$504,L197),"hh:mm")&amp;"–"&amp;TEXT(INDEX(Escaleta!$E$1:$E$504,L197),"hh:mm"),"")))</f>
        <v/>
      </c>
      <c r="C197" s="49">
        <f>IF(M197=0,"",IF(M197&lt;&gt;M196,INDEX(Escaleta!$F$1:$F$504,M197),IF(M197&lt;&gt;M195,TEXT(INDEX(Escaleta!$C$1:$C$504,M197),"hh:mm")&amp;"–"&amp;TEXT(INDEX(Escaleta!$E$1:$E$504,M197),"hh:mm"),"")))</f>
        <v/>
      </c>
      <c r="D197" s="49">
        <f>IF(N197=0,"",IF(N197&lt;&gt;N196,INDEX(Escaleta!$F$1:$F$504,N197),IF(N197&lt;&gt;N195,TEXT(INDEX(Escaleta!$C$1:$C$504,N197),"hh:mm")&amp;"–"&amp;TEXT(INDEX(Escaleta!$E$1:$E$504,N197),"hh:mm"),"")))</f>
        <v/>
      </c>
      <c r="E197" s="49">
        <f>IF(O197=0,"",IF(O197&lt;&gt;O196,INDEX(Escaleta!$F$1:$F$504,O197),IF(O197&lt;&gt;O195,TEXT(INDEX(Escaleta!$C$1:$C$504,O197),"hh:mm")&amp;"–"&amp;TEXT(INDEX(Escaleta!$E$1:$E$504,O197),"hh:mm"),"")))</f>
        <v/>
      </c>
      <c r="F197" s="49">
        <f>IF(P197=0,"",IF(P197&lt;&gt;P196,INDEX(Escaleta!$F$1:$F$504,P197),IF(P197&lt;&gt;P195,TEXT(INDEX(Escaleta!$C$1:$C$504,P197),"hh:mm")&amp;"–"&amp;TEXT(INDEX(Escaleta!$E$1:$E$504,P197),"hh:mm"),"")))</f>
        <v/>
      </c>
      <c r="G197" s="49">
        <f>IF(Q197=0,"",IF(Q197&lt;&gt;Q196,INDEX(Escaleta!$F$1:$F$504,Q197),IF(Q197&lt;&gt;Q195,TEXT(INDEX(Escaleta!$C$1:$C$504,Q197),"hh:mm")&amp;"–"&amp;TEXT(INDEX(Escaleta!$E$1:$E$504,Q197),"hh:mm"),"")))</f>
        <v/>
      </c>
      <c r="H197" s="49">
        <f>IF(R197=0,"",IF(R197&lt;&gt;R196,INDEX(Escaleta!$F$1:$F$504,R197),IF(R197&lt;&gt;R195,TEXT(INDEX(Escaleta!$C$1:$C$504,R197),"hh:mm")&amp;"–"&amp;TEXT(INDEX(Escaleta!$E$1:$E$504,R197),"hh:mm"),"")))</f>
        <v/>
      </c>
      <c r="I197" s="49">
        <f>IF(S197=0,"",IF(S197&lt;&gt;S196,INDEX(Escaleta!$F$1:$F$504,S197),IF(S197&lt;&gt;S195,TEXT(INDEX(Escaleta!$C$1:$C$504,S197),"hh:mm")&amp;"–"&amp;TEXT(INDEX(Escaleta!$E$1:$E$504,S197),"hh:mm"),"")))</f>
        <v/>
      </c>
      <c r="L197" s="50">
        <f>IF(OR($A197="",B$6=""),0,SUMPRODUCT(MAX((Escaleta!$A$5:$A$504=$B$4)*(Escaleta!$H$5:$H$504=B$6)*(Escaleta!$K$5:$K$504&lt;&gt;"Cancelada")*(Escaleta!$C$5:$C$504&lt;$A197+Configuración!$C$7/1440)*(Escaleta!$E$5:$E$504&gt;$A197)*ROW(Escaleta!$A$5:$A$504))))</f>
        <v/>
      </c>
      <c r="M197" s="50">
        <f>IF(OR($A197="",C$6=""),0,SUMPRODUCT(MAX((Escaleta!$A$5:$A$504=$B$4)*(Escaleta!$H$5:$H$504=C$6)*(Escaleta!$K$5:$K$504&lt;&gt;"Cancelada")*(Escaleta!$C$5:$C$504&lt;$A197+Configuración!$C$7/1440)*(Escaleta!$E$5:$E$504&gt;$A197)*ROW(Escaleta!$A$5:$A$504))))</f>
        <v/>
      </c>
      <c r="N197" s="50">
        <f>IF(OR($A197="",D$6=""),0,SUMPRODUCT(MAX((Escaleta!$A$5:$A$504=$B$4)*(Escaleta!$H$5:$H$504=D$6)*(Escaleta!$K$5:$K$504&lt;&gt;"Cancelada")*(Escaleta!$C$5:$C$504&lt;$A197+Configuración!$C$7/1440)*(Escaleta!$E$5:$E$504&gt;$A197)*ROW(Escaleta!$A$5:$A$504))))</f>
        <v/>
      </c>
      <c r="O197" s="50">
        <f>IF(OR($A197="",E$6=""),0,SUMPRODUCT(MAX((Escaleta!$A$5:$A$504=$B$4)*(Escaleta!$H$5:$H$504=E$6)*(Escaleta!$K$5:$K$504&lt;&gt;"Cancelada")*(Escaleta!$C$5:$C$504&lt;$A197+Configuración!$C$7/1440)*(Escaleta!$E$5:$E$504&gt;$A197)*ROW(Escaleta!$A$5:$A$504))))</f>
        <v/>
      </c>
      <c r="P197" s="50">
        <f>IF(OR($A197="",F$6=""),0,SUMPRODUCT(MAX((Escaleta!$A$5:$A$504=$B$4)*(Escaleta!$H$5:$H$504=F$6)*(Escaleta!$K$5:$K$504&lt;&gt;"Cancelada")*(Escaleta!$C$5:$C$504&lt;$A197+Configuración!$C$7/1440)*(Escaleta!$E$5:$E$504&gt;$A197)*ROW(Escaleta!$A$5:$A$504))))</f>
        <v/>
      </c>
      <c r="Q197" s="50">
        <f>IF(OR($A197="",G$6=""),0,SUMPRODUCT(MAX((Escaleta!$A$5:$A$504=$B$4)*(Escaleta!$H$5:$H$504=G$6)*(Escaleta!$K$5:$K$504&lt;&gt;"Cancelada")*(Escaleta!$C$5:$C$504&lt;$A197+Configuración!$C$7/1440)*(Escaleta!$E$5:$E$504&gt;$A197)*ROW(Escaleta!$A$5:$A$504))))</f>
        <v/>
      </c>
      <c r="R197" s="50">
        <f>IF(OR($A197="",H$6=""),0,SUMPRODUCT(MAX((Escaleta!$A$5:$A$504=$B$4)*(Escaleta!$H$5:$H$504=H$6)*(Escaleta!$K$5:$K$504&lt;&gt;"Cancelada")*(Escaleta!$C$5:$C$504&lt;$A197+Configuración!$C$7/1440)*(Escaleta!$E$5:$E$504&gt;$A197)*ROW(Escaleta!$A$5:$A$504))))</f>
        <v/>
      </c>
      <c r="S197" s="50">
        <f>IF(OR($A197="",I$6=""),0,SUMPRODUCT(MAX((Escaleta!$A$5:$A$504=$B$4)*(Escaleta!$H$5:$H$504=I$6)*(Escaleta!$K$5:$K$504&lt;&gt;"Cancelada")*(Escaleta!$C$5:$C$504&lt;$A197+Configuración!$C$7/1440)*(Escaleta!$E$5:$E$504&gt;$A197)*ROW(Escaleta!$A$5:$A$504))))</f>
        <v/>
      </c>
      <c r="U197" s="50">
        <f>IF(L197=0,"",INDEX(Escaleta!$I$1:$I$504,L197))</f>
        <v/>
      </c>
      <c r="V197" s="50">
        <f>IF(M197=0,"",INDEX(Escaleta!$I$1:$I$504,M197))</f>
        <v/>
      </c>
      <c r="W197" s="50">
        <f>IF(N197=0,"",INDEX(Escaleta!$I$1:$I$504,N197))</f>
        <v/>
      </c>
      <c r="X197" s="50">
        <f>IF(O197=0,"",INDEX(Escaleta!$I$1:$I$504,O197))</f>
        <v/>
      </c>
      <c r="Y197" s="50">
        <f>IF(P197=0,"",INDEX(Escaleta!$I$1:$I$504,P197))</f>
        <v/>
      </c>
      <c r="Z197" s="50">
        <f>IF(Q197=0,"",INDEX(Escaleta!$I$1:$I$504,Q197))</f>
        <v/>
      </c>
      <c r="AA197" s="50">
        <f>IF(R197=0,"",INDEX(Escaleta!$I$1:$I$504,R197))</f>
        <v/>
      </c>
      <c r="AB197" s="50">
        <f>IF(S197=0,"",INDEX(Escaleta!$I$1:$I$504,S197))</f>
        <v/>
      </c>
    </row>
    <row r="198" ht="18" customHeight="1">
      <c r="A198" s="48">
        <f>IF(A197="","",IF(A197+Configuración!$C$7/1440&gt;Configuración!$C$6-0.0001,"",A197+Configuración!$C$7/1440))</f>
        <v/>
      </c>
      <c r="B198" s="49">
        <f>IF(L198=0,"",IF(L198&lt;&gt;L197,INDEX(Escaleta!$F$1:$F$504,L198),IF(L198&lt;&gt;L196,TEXT(INDEX(Escaleta!$C$1:$C$504,L198),"hh:mm")&amp;"–"&amp;TEXT(INDEX(Escaleta!$E$1:$E$504,L198),"hh:mm"),"")))</f>
        <v/>
      </c>
      <c r="C198" s="49">
        <f>IF(M198=0,"",IF(M198&lt;&gt;M197,INDEX(Escaleta!$F$1:$F$504,M198),IF(M198&lt;&gt;M196,TEXT(INDEX(Escaleta!$C$1:$C$504,M198),"hh:mm")&amp;"–"&amp;TEXT(INDEX(Escaleta!$E$1:$E$504,M198),"hh:mm"),"")))</f>
        <v/>
      </c>
      <c r="D198" s="49">
        <f>IF(N198=0,"",IF(N198&lt;&gt;N197,INDEX(Escaleta!$F$1:$F$504,N198),IF(N198&lt;&gt;N196,TEXT(INDEX(Escaleta!$C$1:$C$504,N198),"hh:mm")&amp;"–"&amp;TEXT(INDEX(Escaleta!$E$1:$E$504,N198),"hh:mm"),"")))</f>
        <v/>
      </c>
      <c r="E198" s="49">
        <f>IF(O198=0,"",IF(O198&lt;&gt;O197,INDEX(Escaleta!$F$1:$F$504,O198),IF(O198&lt;&gt;O196,TEXT(INDEX(Escaleta!$C$1:$C$504,O198),"hh:mm")&amp;"–"&amp;TEXT(INDEX(Escaleta!$E$1:$E$504,O198),"hh:mm"),"")))</f>
        <v/>
      </c>
      <c r="F198" s="49">
        <f>IF(P198=0,"",IF(P198&lt;&gt;P197,INDEX(Escaleta!$F$1:$F$504,P198),IF(P198&lt;&gt;P196,TEXT(INDEX(Escaleta!$C$1:$C$504,P198),"hh:mm")&amp;"–"&amp;TEXT(INDEX(Escaleta!$E$1:$E$504,P198),"hh:mm"),"")))</f>
        <v/>
      </c>
      <c r="G198" s="49">
        <f>IF(Q198=0,"",IF(Q198&lt;&gt;Q197,INDEX(Escaleta!$F$1:$F$504,Q198),IF(Q198&lt;&gt;Q196,TEXT(INDEX(Escaleta!$C$1:$C$504,Q198),"hh:mm")&amp;"–"&amp;TEXT(INDEX(Escaleta!$E$1:$E$504,Q198),"hh:mm"),"")))</f>
        <v/>
      </c>
      <c r="H198" s="49">
        <f>IF(R198=0,"",IF(R198&lt;&gt;R197,INDEX(Escaleta!$F$1:$F$504,R198),IF(R198&lt;&gt;R196,TEXT(INDEX(Escaleta!$C$1:$C$504,R198),"hh:mm")&amp;"–"&amp;TEXT(INDEX(Escaleta!$E$1:$E$504,R198),"hh:mm"),"")))</f>
        <v/>
      </c>
      <c r="I198" s="49">
        <f>IF(S198=0,"",IF(S198&lt;&gt;S197,INDEX(Escaleta!$F$1:$F$504,S198),IF(S198&lt;&gt;S196,TEXT(INDEX(Escaleta!$C$1:$C$504,S198),"hh:mm")&amp;"–"&amp;TEXT(INDEX(Escaleta!$E$1:$E$504,S198),"hh:mm"),"")))</f>
        <v/>
      </c>
      <c r="L198" s="50">
        <f>IF(OR($A198="",B$6=""),0,SUMPRODUCT(MAX((Escaleta!$A$5:$A$504=$B$4)*(Escaleta!$H$5:$H$504=B$6)*(Escaleta!$K$5:$K$504&lt;&gt;"Cancelada")*(Escaleta!$C$5:$C$504&lt;$A198+Configuración!$C$7/1440)*(Escaleta!$E$5:$E$504&gt;$A198)*ROW(Escaleta!$A$5:$A$504))))</f>
        <v/>
      </c>
      <c r="M198" s="50">
        <f>IF(OR($A198="",C$6=""),0,SUMPRODUCT(MAX((Escaleta!$A$5:$A$504=$B$4)*(Escaleta!$H$5:$H$504=C$6)*(Escaleta!$K$5:$K$504&lt;&gt;"Cancelada")*(Escaleta!$C$5:$C$504&lt;$A198+Configuración!$C$7/1440)*(Escaleta!$E$5:$E$504&gt;$A198)*ROW(Escaleta!$A$5:$A$504))))</f>
        <v/>
      </c>
      <c r="N198" s="50">
        <f>IF(OR($A198="",D$6=""),0,SUMPRODUCT(MAX((Escaleta!$A$5:$A$504=$B$4)*(Escaleta!$H$5:$H$504=D$6)*(Escaleta!$K$5:$K$504&lt;&gt;"Cancelada")*(Escaleta!$C$5:$C$504&lt;$A198+Configuración!$C$7/1440)*(Escaleta!$E$5:$E$504&gt;$A198)*ROW(Escaleta!$A$5:$A$504))))</f>
        <v/>
      </c>
      <c r="O198" s="50">
        <f>IF(OR($A198="",E$6=""),0,SUMPRODUCT(MAX((Escaleta!$A$5:$A$504=$B$4)*(Escaleta!$H$5:$H$504=E$6)*(Escaleta!$K$5:$K$504&lt;&gt;"Cancelada")*(Escaleta!$C$5:$C$504&lt;$A198+Configuración!$C$7/1440)*(Escaleta!$E$5:$E$504&gt;$A198)*ROW(Escaleta!$A$5:$A$504))))</f>
        <v/>
      </c>
      <c r="P198" s="50">
        <f>IF(OR($A198="",F$6=""),0,SUMPRODUCT(MAX((Escaleta!$A$5:$A$504=$B$4)*(Escaleta!$H$5:$H$504=F$6)*(Escaleta!$K$5:$K$504&lt;&gt;"Cancelada")*(Escaleta!$C$5:$C$504&lt;$A198+Configuración!$C$7/1440)*(Escaleta!$E$5:$E$504&gt;$A198)*ROW(Escaleta!$A$5:$A$504))))</f>
        <v/>
      </c>
      <c r="Q198" s="50">
        <f>IF(OR($A198="",G$6=""),0,SUMPRODUCT(MAX((Escaleta!$A$5:$A$504=$B$4)*(Escaleta!$H$5:$H$504=G$6)*(Escaleta!$K$5:$K$504&lt;&gt;"Cancelada")*(Escaleta!$C$5:$C$504&lt;$A198+Configuración!$C$7/1440)*(Escaleta!$E$5:$E$504&gt;$A198)*ROW(Escaleta!$A$5:$A$504))))</f>
        <v/>
      </c>
      <c r="R198" s="50">
        <f>IF(OR($A198="",H$6=""),0,SUMPRODUCT(MAX((Escaleta!$A$5:$A$504=$B$4)*(Escaleta!$H$5:$H$504=H$6)*(Escaleta!$K$5:$K$504&lt;&gt;"Cancelada")*(Escaleta!$C$5:$C$504&lt;$A198+Configuración!$C$7/1440)*(Escaleta!$E$5:$E$504&gt;$A198)*ROW(Escaleta!$A$5:$A$504))))</f>
        <v/>
      </c>
      <c r="S198" s="50">
        <f>IF(OR($A198="",I$6=""),0,SUMPRODUCT(MAX((Escaleta!$A$5:$A$504=$B$4)*(Escaleta!$H$5:$H$504=I$6)*(Escaleta!$K$5:$K$504&lt;&gt;"Cancelada")*(Escaleta!$C$5:$C$504&lt;$A198+Configuración!$C$7/1440)*(Escaleta!$E$5:$E$504&gt;$A198)*ROW(Escaleta!$A$5:$A$504))))</f>
        <v/>
      </c>
      <c r="U198" s="50">
        <f>IF(L198=0,"",INDEX(Escaleta!$I$1:$I$504,L198))</f>
        <v/>
      </c>
      <c r="V198" s="50">
        <f>IF(M198=0,"",INDEX(Escaleta!$I$1:$I$504,M198))</f>
        <v/>
      </c>
      <c r="W198" s="50">
        <f>IF(N198=0,"",INDEX(Escaleta!$I$1:$I$504,N198))</f>
        <v/>
      </c>
      <c r="X198" s="50">
        <f>IF(O198=0,"",INDEX(Escaleta!$I$1:$I$504,O198))</f>
        <v/>
      </c>
      <c r="Y198" s="50">
        <f>IF(P198=0,"",INDEX(Escaleta!$I$1:$I$504,P198))</f>
        <v/>
      </c>
      <c r="Z198" s="50">
        <f>IF(Q198=0,"",INDEX(Escaleta!$I$1:$I$504,Q198))</f>
        <v/>
      </c>
      <c r="AA198" s="50">
        <f>IF(R198=0,"",INDEX(Escaleta!$I$1:$I$504,R198))</f>
        <v/>
      </c>
      <c r="AB198" s="50">
        <f>IF(S198=0,"",INDEX(Escaleta!$I$1:$I$504,S198))</f>
        <v/>
      </c>
    </row>
    <row r="199" ht="18" customHeight="1">
      <c r="A199" s="48">
        <f>IF(A198="","",IF(A198+Configuración!$C$7/1440&gt;Configuración!$C$6-0.0001,"",A198+Configuración!$C$7/1440))</f>
        <v/>
      </c>
      <c r="B199" s="49">
        <f>IF(L199=0,"",IF(L199&lt;&gt;L198,INDEX(Escaleta!$F$1:$F$504,L199),IF(L199&lt;&gt;L197,TEXT(INDEX(Escaleta!$C$1:$C$504,L199),"hh:mm")&amp;"–"&amp;TEXT(INDEX(Escaleta!$E$1:$E$504,L199),"hh:mm"),"")))</f>
        <v/>
      </c>
      <c r="C199" s="49">
        <f>IF(M199=0,"",IF(M199&lt;&gt;M198,INDEX(Escaleta!$F$1:$F$504,M199),IF(M199&lt;&gt;M197,TEXT(INDEX(Escaleta!$C$1:$C$504,M199),"hh:mm")&amp;"–"&amp;TEXT(INDEX(Escaleta!$E$1:$E$504,M199),"hh:mm"),"")))</f>
        <v/>
      </c>
      <c r="D199" s="49">
        <f>IF(N199=0,"",IF(N199&lt;&gt;N198,INDEX(Escaleta!$F$1:$F$504,N199),IF(N199&lt;&gt;N197,TEXT(INDEX(Escaleta!$C$1:$C$504,N199),"hh:mm")&amp;"–"&amp;TEXT(INDEX(Escaleta!$E$1:$E$504,N199),"hh:mm"),"")))</f>
        <v/>
      </c>
      <c r="E199" s="49">
        <f>IF(O199=0,"",IF(O199&lt;&gt;O198,INDEX(Escaleta!$F$1:$F$504,O199),IF(O199&lt;&gt;O197,TEXT(INDEX(Escaleta!$C$1:$C$504,O199),"hh:mm")&amp;"–"&amp;TEXT(INDEX(Escaleta!$E$1:$E$504,O199),"hh:mm"),"")))</f>
        <v/>
      </c>
      <c r="F199" s="49">
        <f>IF(P199=0,"",IF(P199&lt;&gt;P198,INDEX(Escaleta!$F$1:$F$504,P199),IF(P199&lt;&gt;P197,TEXT(INDEX(Escaleta!$C$1:$C$504,P199),"hh:mm")&amp;"–"&amp;TEXT(INDEX(Escaleta!$E$1:$E$504,P199),"hh:mm"),"")))</f>
        <v/>
      </c>
      <c r="G199" s="49">
        <f>IF(Q199=0,"",IF(Q199&lt;&gt;Q198,INDEX(Escaleta!$F$1:$F$504,Q199),IF(Q199&lt;&gt;Q197,TEXT(INDEX(Escaleta!$C$1:$C$504,Q199),"hh:mm")&amp;"–"&amp;TEXT(INDEX(Escaleta!$E$1:$E$504,Q199),"hh:mm"),"")))</f>
        <v/>
      </c>
      <c r="H199" s="49">
        <f>IF(R199=0,"",IF(R199&lt;&gt;R198,INDEX(Escaleta!$F$1:$F$504,R199),IF(R199&lt;&gt;R197,TEXT(INDEX(Escaleta!$C$1:$C$504,R199),"hh:mm")&amp;"–"&amp;TEXT(INDEX(Escaleta!$E$1:$E$504,R199),"hh:mm"),"")))</f>
        <v/>
      </c>
      <c r="I199" s="49">
        <f>IF(S199=0,"",IF(S199&lt;&gt;S198,INDEX(Escaleta!$F$1:$F$504,S199),IF(S199&lt;&gt;S197,TEXT(INDEX(Escaleta!$C$1:$C$504,S199),"hh:mm")&amp;"–"&amp;TEXT(INDEX(Escaleta!$E$1:$E$504,S199),"hh:mm"),"")))</f>
        <v/>
      </c>
      <c r="L199" s="50">
        <f>IF(OR($A199="",B$6=""),0,SUMPRODUCT(MAX((Escaleta!$A$5:$A$504=$B$4)*(Escaleta!$H$5:$H$504=B$6)*(Escaleta!$K$5:$K$504&lt;&gt;"Cancelada")*(Escaleta!$C$5:$C$504&lt;$A199+Configuración!$C$7/1440)*(Escaleta!$E$5:$E$504&gt;$A199)*ROW(Escaleta!$A$5:$A$504))))</f>
        <v/>
      </c>
      <c r="M199" s="50">
        <f>IF(OR($A199="",C$6=""),0,SUMPRODUCT(MAX((Escaleta!$A$5:$A$504=$B$4)*(Escaleta!$H$5:$H$504=C$6)*(Escaleta!$K$5:$K$504&lt;&gt;"Cancelada")*(Escaleta!$C$5:$C$504&lt;$A199+Configuración!$C$7/1440)*(Escaleta!$E$5:$E$504&gt;$A199)*ROW(Escaleta!$A$5:$A$504))))</f>
        <v/>
      </c>
      <c r="N199" s="50">
        <f>IF(OR($A199="",D$6=""),0,SUMPRODUCT(MAX((Escaleta!$A$5:$A$504=$B$4)*(Escaleta!$H$5:$H$504=D$6)*(Escaleta!$K$5:$K$504&lt;&gt;"Cancelada")*(Escaleta!$C$5:$C$504&lt;$A199+Configuración!$C$7/1440)*(Escaleta!$E$5:$E$504&gt;$A199)*ROW(Escaleta!$A$5:$A$504))))</f>
        <v/>
      </c>
      <c r="O199" s="50">
        <f>IF(OR($A199="",E$6=""),0,SUMPRODUCT(MAX((Escaleta!$A$5:$A$504=$B$4)*(Escaleta!$H$5:$H$504=E$6)*(Escaleta!$K$5:$K$504&lt;&gt;"Cancelada")*(Escaleta!$C$5:$C$504&lt;$A199+Configuración!$C$7/1440)*(Escaleta!$E$5:$E$504&gt;$A199)*ROW(Escaleta!$A$5:$A$504))))</f>
        <v/>
      </c>
      <c r="P199" s="50">
        <f>IF(OR($A199="",F$6=""),0,SUMPRODUCT(MAX((Escaleta!$A$5:$A$504=$B$4)*(Escaleta!$H$5:$H$504=F$6)*(Escaleta!$K$5:$K$504&lt;&gt;"Cancelada")*(Escaleta!$C$5:$C$504&lt;$A199+Configuración!$C$7/1440)*(Escaleta!$E$5:$E$504&gt;$A199)*ROW(Escaleta!$A$5:$A$504))))</f>
        <v/>
      </c>
      <c r="Q199" s="50">
        <f>IF(OR($A199="",G$6=""),0,SUMPRODUCT(MAX((Escaleta!$A$5:$A$504=$B$4)*(Escaleta!$H$5:$H$504=G$6)*(Escaleta!$K$5:$K$504&lt;&gt;"Cancelada")*(Escaleta!$C$5:$C$504&lt;$A199+Configuración!$C$7/1440)*(Escaleta!$E$5:$E$504&gt;$A199)*ROW(Escaleta!$A$5:$A$504))))</f>
        <v/>
      </c>
      <c r="R199" s="50">
        <f>IF(OR($A199="",H$6=""),0,SUMPRODUCT(MAX((Escaleta!$A$5:$A$504=$B$4)*(Escaleta!$H$5:$H$504=H$6)*(Escaleta!$K$5:$K$504&lt;&gt;"Cancelada")*(Escaleta!$C$5:$C$504&lt;$A199+Configuración!$C$7/1440)*(Escaleta!$E$5:$E$504&gt;$A199)*ROW(Escaleta!$A$5:$A$504))))</f>
        <v/>
      </c>
      <c r="S199" s="50">
        <f>IF(OR($A199="",I$6=""),0,SUMPRODUCT(MAX((Escaleta!$A$5:$A$504=$B$4)*(Escaleta!$H$5:$H$504=I$6)*(Escaleta!$K$5:$K$504&lt;&gt;"Cancelada")*(Escaleta!$C$5:$C$504&lt;$A199+Configuración!$C$7/1440)*(Escaleta!$E$5:$E$504&gt;$A199)*ROW(Escaleta!$A$5:$A$504))))</f>
        <v/>
      </c>
      <c r="U199" s="50">
        <f>IF(L199=0,"",INDEX(Escaleta!$I$1:$I$504,L199))</f>
        <v/>
      </c>
      <c r="V199" s="50">
        <f>IF(M199=0,"",INDEX(Escaleta!$I$1:$I$504,M199))</f>
        <v/>
      </c>
      <c r="W199" s="50">
        <f>IF(N199=0,"",INDEX(Escaleta!$I$1:$I$504,N199))</f>
        <v/>
      </c>
      <c r="X199" s="50">
        <f>IF(O199=0,"",INDEX(Escaleta!$I$1:$I$504,O199))</f>
        <v/>
      </c>
      <c r="Y199" s="50">
        <f>IF(P199=0,"",INDEX(Escaleta!$I$1:$I$504,P199))</f>
        <v/>
      </c>
      <c r="Z199" s="50">
        <f>IF(Q199=0,"",INDEX(Escaleta!$I$1:$I$504,Q199))</f>
        <v/>
      </c>
      <c r="AA199" s="50">
        <f>IF(R199=0,"",INDEX(Escaleta!$I$1:$I$504,R199))</f>
        <v/>
      </c>
      <c r="AB199" s="50">
        <f>IF(S199=0,"",INDEX(Escaleta!$I$1:$I$504,S199))</f>
        <v/>
      </c>
    </row>
    <row r="200" ht="18" customHeight="1">
      <c r="A200" s="48">
        <f>IF(A199="","",IF(A199+Configuración!$C$7/1440&gt;Configuración!$C$6-0.0001,"",A199+Configuración!$C$7/1440))</f>
        <v/>
      </c>
      <c r="B200" s="49">
        <f>IF(L200=0,"",IF(L200&lt;&gt;L199,INDEX(Escaleta!$F$1:$F$504,L200),IF(L200&lt;&gt;L198,TEXT(INDEX(Escaleta!$C$1:$C$504,L200),"hh:mm")&amp;"–"&amp;TEXT(INDEX(Escaleta!$E$1:$E$504,L200),"hh:mm"),"")))</f>
        <v/>
      </c>
      <c r="C200" s="49">
        <f>IF(M200=0,"",IF(M200&lt;&gt;M199,INDEX(Escaleta!$F$1:$F$504,M200),IF(M200&lt;&gt;M198,TEXT(INDEX(Escaleta!$C$1:$C$504,M200),"hh:mm")&amp;"–"&amp;TEXT(INDEX(Escaleta!$E$1:$E$504,M200),"hh:mm"),"")))</f>
        <v/>
      </c>
      <c r="D200" s="49">
        <f>IF(N200=0,"",IF(N200&lt;&gt;N199,INDEX(Escaleta!$F$1:$F$504,N200),IF(N200&lt;&gt;N198,TEXT(INDEX(Escaleta!$C$1:$C$504,N200),"hh:mm")&amp;"–"&amp;TEXT(INDEX(Escaleta!$E$1:$E$504,N200),"hh:mm"),"")))</f>
        <v/>
      </c>
      <c r="E200" s="49">
        <f>IF(O200=0,"",IF(O200&lt;&gt;O199,INDEX(Escaleta!$F$1:$F$504,O200),IF(O200&lt;&gt;O198,TEXT(INDEX(Escaleta!$C$1:$C$504,O200),"hh:mm")&amp;"–"&amp;TEXT(INDEX(Escaleta!$E$1:$E$504,O200),"hh:mm"),"")))</f>
        <v/>
      </c>
      <c r="F200" s="49">
        <f>IF(P200=0,"",IF(P200&lt;&gt;P199,INDEX(Escaleta!$F$1:$F$504,P200),IF(P200&lt;&gt;P198,TEXT(INDEX(Escaleta!$C$1:$C$504,P200),"hh:mm")&amp;"–"&amp;TEXT(INDEX(Escaleta!$E$1:$E$504,P200),"hh:mm"),"")))</f>
        <v/>
      </c>
      <c r="G200" s="49">
        <f>IF(Q200=0,"",IF(Q200&lt;&gt;Q199,INDEX(Escaleta!$F$1:$F$504,Q200),IF(Q200&lt;&gt;Q198,TEXT(INDEX(Escaleta!$C$1:$C$504,Q200),"hh:mm")&amp;"–"&amp;TEXT(INDEX(Escaleta!$E$1:$E$504,Q200),"hh:mm"),"")))</f>
        <v/>
      </c>
      <c r="H200" s="49">
        <f>IF(R200=0,"",IF(R200&lt;&gt;R199,INDEX(Escaleta!$F$1:$F$504,R200),IF(R200&lt;&gt;R198,TEXT(INDEX(Escaleta!$C$1:$C$504,R200),"hh:mm")&amp;"–"&amp;TEXT(INDEX(Escaleta!$E$1:$E$504,R200),"hh:mm"),"")))</f>
        <v/>
      </c>
      <c r="I200" s="49">
        <f>IF(S200=0,"",IF(S200&lt;&gt;S199,INDEX(Escaleta!$F$1:$F$504,S200),IF(S200&lt;&gt;S198,TEXT(INDEX(Escaleta!$C$1:$C$504,S200),"hh:mm")&amp;"–"&amp;TEXT(INDEX(Escaleta!$E$1:$E$504,S200),"hh:mm"),"")))</f>
        <v/>
      </c>
      <c r="L200" s="50">
        <f>IF(OR($A200="",B$6=""),0,SUMPRODUCT(MAX((Escaleta!$A$5:$A$504=$B$4)*(Escaleta!$H$5:$H$504=B$6)*(Escaleta!$K$5:$K$504&lt;&gt;"Cancelada")*(Escaleta!$C$5:$C$504&lt;$A200+Configuración!$C$7/1440)*(Escaleta!$E$5:$E$504&gt;$A200)*ROW(Escaleta!$A$5:$A$504))))</f>
        <v/>
      </c>
      <c r="M200" s="50">
        <f>IF(OR($A200="",C$6=""),0,SUMPRODUCT(MAX((Escaleta!$A$5:$A$504=$B$4)*(Escaleta!$H$5:$H$504=C$6)*(Escaleta!$K$5:$K$504&lt;&gt;"Cancelada")*(Escaleta!$C$5:$C$504&lt;$A200+Configuración!$C$7/1440)*(Escaleta!$E$5:$E$504&gt;$A200)*ROW(Escaleta!$A$5:$A$504))))</f>
        <v/>
      </c>
      <c r="N200" s="50">
        <f>IF(OR($A200="",D$6=""),0,SUMPRODUCT(MAX((Escaleta!$A$5:$A$504=$B$4)*(Escaleta!$H$5:$H$504=D$6)*(Escaleta!$K$5:$K$504&lt;&gt;"Cancelada")*(Escaleta!$C$5:$C$504&lt;$A200+Configuración!$C$7/1440)*(Escaleta!$E$5:$E$504&gt;$A200)*ROW(Escaleta!$A$5:$A$504))))</f>
        <v/>
      </c>
      <c r="O200" s="50">
        <f>IF(OR($A200="",E$6=""),0,SUMPRODUCT(MAX((Escaleta!$A$5:$A$504=$B$4)*(Escaleta!$H$5:$H$504=E$6)*(Escaleta!$K$5:$K$504&lt;&gt;"Cancelada")*(Escaleta!$C$5:$C$504&lt;$A200+Configuración!$C$7/1440)*(Escaleta!$E$5:$E$504&gt;$A200)*ROW(Escaleta!$A$5:$A$504))))</f>
        <v/>
      </c>
      <c r="P200" s="50">
        <f>IF(OR($A200="",F$6=""),0,SUMPRODUCT(MAX((Escaleta!$A$5:$A$504=$B$4)*(Escaleta!$H$5:$H$504=F$6)*(Escaleta!$K$5:$K$504&lt;&gt;"Cancelada")*(Escaleta!$C$5:$C$504&lt;$A200+Configuración!$C$7/1440)*(Escaleta!$E$5:$E$504&gt;$A200)*ROW(Escaleta!$A$5:$A$504))))</f>
        <v/>
      </c>
      <c r="Q200" s="50">
        <f>IF(OR($A200="",G$6=""),0,SUMPRODUCT(MAX((Escaleta!$A$5:$A$504=$B$4)*(Escaleta!$H$5:$H$504=G$6)*(Escaleta!$K$5:$K$504&lt;&gt;"Cancelada")*(Escaleta!$C$5:$C$504&lt;$A200+Configuración!$C$7/1440)*(Escaleta!$E$5:$E$504&gt;$A200)*ROW(Escaleta!$A$5:$A$504))))</f>
        <v/>
      </c>
      <c r="R200" s="50">
        <f>IF(OR($A200="",H$6=""),0,SUMPRODUCT(MAX((Escaleta!$A$5:$A$504=$B$4)*(Escaleta!$H$5:$H$504=H$6)*(Escaleta!$K$5:$K$504&lt;&gt;"Cancelada")*(Escaleta!$C$5:$C$504&lt;$A200+Configuración!$C$7/1440)*(Escaleta!$E$5:$E$504&gt;$A200)*ROW(Escaleta!$A$5:$A$504))))</f>
        <v/>
      </c>
      <c r="S200" s="50">
        <f>IF(OR($A200="",I$6=""),0,SUMPRODUCT(MAX((Escaleta!$A$5:$A$504=$B$4)*(Escaleta!$H$5:$H$504=I$6)*(Escaleta!$K$5:$K$504&lt;&gt;"Cancelada")*(Escaleta!$C$5:$C$504&lt;$A200+Configuración!$C$7/1440)*(Escaleta!$E$5:$E$504&gt;$A200)*ROW(Escaleta!$A$5:$A$504))))</f>
        <v/>
      </c>
      <c r="U200" s="50">
        <f>IF(L200=0,"",INDEX(Escaleta!$I$1:$I$504,L200))</f>
        <v/>
      </c>
      <c r="V200" s="50">
        <f>IF(M200=0,"",INDEX(Escaleta!$I$1:$I$504,M200))</f>
        <v/>
      </c>
      <c r="W200" s="50">
        <f>IF(N200=0,"",INDEX(Escaleta!$I$1:$I$504,N200))</f>
        <v/>
      </c>
      <c r="X200" s="50">
        <f>IF(O200=0,"",INDEX(Escaleta!$I$1:$I$504,O200))</f>
        <v/>
      </c>
      <c r="Y200" s="50">
        <f>IF(P200=0,"",INDEX(Escaleta!$I$1:$I$504,P200))</f>
        <v/>
      </c>
      <c r="Z200" s="50">
        <f>IF(Q200=0,"",INDEX(Escaleta!$I$1:$I$504,Q200))</f>
        <v/>
      </c>
      <c r="AA200" s="50">
        <f>IF(R200=0,"",INDEX(Escaleta!$I$1:$I$504,R200))</f>
        <v/>
      </c>
      <c r="AB200" s="50">
        <f>IF(S200=0,"",INDEX(Escaleta!$I$1:$I$504,S200))</f>
        <v/>
      </c>
    </row>
    <row r="201" ht="18" customHeight="1">
      <c r="A201" s="48">
        <f>IF(A200="","",IF(A200+Configuración!$C$7/1440&gt;Configuración!$C$6-0.0001,"",A200+Configuración!$C$7/1440))</f>
        <v/>
      </c>
      <c r="B201" s="49">
        <f>IF(L201=0,"",IF(L201&lt;&gt;L200,INDEX(Escaleta!$F$1:$F$504,L201),IF(L201&lt;&gt;L199,TEXT(INDEX(Escaleta!$C$1:$C$504,L201),"hh:mm")&amp;"–"&amp;TEXT(INDEX(Escaleta!$E$1:$E$504,L201),"hh:mm"),"")))</f>
        <v/>
      </c>
      <c r="C201" s="49">
        <f>IF(M201=0,"",IF(M201&lt;&gt;M200,INDEX(Escaleta!$F$1:$F$504,M201),IF(M201&lt;&gt;M199,TEXT(INDEX(Escaleta!$C$1:$C$504,M201),"hh:mm")&amp;"–"&amp;TEXT(INDEX(Escaleta!$E$1:$E$504,M201),"hh:mm"),"")))</f>
        <v/>
      </c>
      <c r="D201" s="49">
        <f>IF(N201=0,"",IF(N201&lt;&gt;N200,INDEX(Escaleta!$F$1:$F$504,N201),IF(N201&lt;&gt;N199,TEXT(INDEX(Escaleta!$C$1:$C$504,N201),"hh:mm")&amp;"–"&amp;TEXT(INDEX(Escaleta!$E$1:$E$504,N201),"hh:mm"),"")))</f>
        <v/>
      </c>
      <c r="E201" s="49">
        <f>IF(O201=0,"",IF(O201&lt;&gt;O200,INDEX(Escaleta!$F$1:$F$504,O201),IF(O201&lt;&gt;O199,TEXT(INDEX(Escaleta!$C$1:$C$504,O201),"hh:mm")&amp;"–"&amp;TEXT(INDEX(Escaleta!$E$1:$E$504,O201),"hh:mm"),"")))</f>
        <v/>
      </c>
      <c r="F201" s="49">
        <f>IF(P201=0,"",IF(P201&lt;&gt;P200,INDEX(Escaleta!$F$1:$F$504,P201),IF(P201&lt;&gt;P199,TEXT(INDEX(Escaleta!$C$1:$C$504,P201),"hh:mm")&amp;"–"&amp;TEXT(INDEX(Escaleta!$E$1:$E$504,P201),"hh:mm"),"")))</f>
        <v/>
      </c>
      <c r="G201" s="49">
        <f>IF(Q201=0,"",IF(Q201&lt;&gt;Q200,INDEX(Escaleta!$F$1:$F$504,Q201),IF(Q201&lt;&gt;Q199,TEXT(INDEX(Escaleta!$C$1:$C$504,Q201),"hh:mm")&amp;"–"&amp;TEXT(INDEX(Escaleta!$E$1:$E$504,Q201),"hh:mm"),"")))</f>
        <v/>
      </c>
      <c r="H201" s="49">
        <f>IF(R201=0,"",IF(R201&lt;&gt;R200,INDEX(Escaleta!$F$1:$F$504,R201),IF(R201&lt;&gt;R199,TEXT(INDEX(Escaleta!$C$1:$C$504,R201),"hh:mm")&amp;"–"&amp;TEXT(INDEX(Escaleta!$E$1:$E$504,R201),"hh:mm"),"")))</f>
        <v/>
      </c>
      <c r="I201" s="49">
        <f>IF(S201=0,"",IF(S201&lt;&gt;S200,INDEX(Escaleta!$F$1:$F$504,S201),IF(S201&lt;&gt;S199,TEXT(INDEX(Escaleta!$C$1:$C$504,S201),"hh:mm")&amp;"–"&amp;TEXT(INDEX(Escaleta!$E$1:$E$504,S201),"hh:mm"),"")))</f>
        <v/>
      </c>
      <c r="L201" s="50">
        <f>IF(OR($A201="",B$6=""),0,SUMPRODUCT(MAX((Escaleta!$A$5:$A$504=$B$4)*(Escaleta!$H$5:$H$504=B$6)*(Escaleta!$K$5:$K$504&lt;&gt;"Cancelada")*(Escaleta!$C$5:$C$504&lt;$A201+Configuración!$C$7/1440)*(Escaleta!$E$5:$E$504&gt;$A201)*ROW(Escaleta!$A$5:$A$504))))</f>
        <v/>
      </c>
      <c r="M201" s="50">
        <f>IF(OR($A201="",C$6=""),0,SUMPRODUCT(MAX((Escaleta!$A$5:$A$504=$B$4)*(Escaleta!$H$5:$H$504=C$6)*(Escaleta!$K$5:$K$504&lt;&gt;"Cancelada")*(Escaleta!$C$5:$C$504&lt;$A201+Configuración!$C$7/1440)*(Escaleta!$E$5:$E$504&gt;$A201)*ROW(Escaleta!$A$5:$A$504))))</f>
        <v/>
      </c>
      <c r="N201" s="50">
        <f>IF(OR($A201="",D$6=""),0,SUMPRODUCT(MAX((Escaleta!$A$5:$A$504=$B$4)*(Escaleta!$H$5:$H$504=D$6)*(Escaleta!$K$5:$K$504&lt;&gt;"Cancelada")*(Escaleta!$C$5:$C$504&lt;$A201+Configuración!$C$7/1440)*(Escaleta!$E$5:$E$504&gt;$A201)*ROW(Escaleta!$A$5:$A$504))))</f>
        <v/>
      </c>
      <c r="O201" s="50">
        <f>IF(OR($A201="",E$6=""),0,SUMPRODUCT(MAX((Escaleta!$A$5:$A$504=$B$4)*(Escaleta!$H$5:$H$504=E$6)*(Escaleta!$K$5:$K$504&lt;&gt;"Cancelada")*(Escaleta!$C$5:$C$504&lt;$A201+Configuración!$C$7/1440)*(Escaleta!$E$5:$E$504&gt;$A201)*ROW(Escaleta!$A$5:$A$504))))</f>
        <v/>
      </c>
      <c r="P201" s="50">
        <f>IF(OR($A201="",F$6=""),0,SUMPRODUCT(MAX((Escaleta!$A$5:$A$504=$B$4)*(Escaleta!$H$5:$H$504=F$6)*(Escaleta!$K$5:$K$504&lt;&gt;"Cancelada")*(Escaleta!$C$5:$C$504&lt;$A201+Configuración!$C$7/1440)*(Escaleta!$E$5:$E$504&gt;$A201)*ROW(Escaleta!$A$5:$A$504))))</f>
        <v/>
      </c>
      <c r="Q201" s="50">
        <f>IF(OR($A201="",G$6=""),0,SUMPRODUCT(MAX((Escaleta!$A$5:$A$504=$B$4)*(Escaleta!$H$5:$H$504=G$6)*(Escaleta!$K$5:$K$504&lt;&gt;"Cancelada")*(Escaleta!$C$5:$C$504&lt;$A201+Configuración!$C$7/1440)*(Escaleta!$E$5:$E$504&gt;$A201)*ROW(Escaleta!$A$5:$A$504))))</f>
        <v/>
      </c>
      <c r="R201" s="50">
        <f>IF(OR($A201="",H$6=""),0,SUMPRODUCT(MAX((Escaleta!$A$5:$A$504=$B$4)*(Escaleta!$H$5:$H$504=H$6)*(Escaleta!$K$5:$K$504&lt;&gt;"Cancelada")*(Escaleta!$C$5:$C$504&lt;$A201+Configuración!$C$7/1440)*(Escaleta!$E$5:$E$504&gt;$A201)*ROW(Escaleta!$A$5:$A$504))))</f>
        <v/>
      </c>
      <c r="S201" s="50">
        <f>IF(OR($A201="",I$6=""),0,SUMPRODUCT(MAX((Escaleta!$A$5:$A$504=$B$4)*(Escaleta!$H$5:$H$504=I$6)*(Escaleta!$K$5:$K$504&lt;&gt;"Cancelada")*(Escaleta!$C$5:$C$504&lt;$A201+Configuración!$C$7/1440)*(Escaleta!$E$5:$E$504&gt;$A201)*ROW(Escaleta!$A$5:$A$504))))</f>
        <v/>
      </c>
      <c r="U201" s="50">
        <f>IF(L201=0,"",INDEX(Escaleta!$I$1:$I$504,L201))</f>
        <v/>
      </c>
      <c r="V201" s="50">
        <f>IF(M201=0,"",INDEX(Escaleta!$I$1:$I$504,M201))</f>
        <v/>
      </c>
      <c r="W201" s="50">
        <f>IF(N201=0,"",INDEX(Escaleta!$I$1:$I$504,N201))</f>
        <v/>
      </c>
      <c r="X201" s="50">
        <f>IF(O201=0,"",INDEX(Escaleta!$I$1:$I$504,O201))</f>
        <v/>
      </c>
      <c r="Y201" s="50">
        <f>IF(P201=0,"",INDEX(Escaleta!$I$1:$I$504,P201))</f>
        <v/>
      </c>
      <c r="Z201" s="50">
        <f>IF(Q201=0,"",INDEX(Escaleta!$I$1:$I$504,Q201))</f>
        <v/>
      </c>
      <c r="AA201" s="50">
        <f>IF(R201=0,"",INDEX(Escaleta!$I$1:$I$504,R201))</f>
        <v/>
      </c>
      <c r="AB201" s="50">
        <f>IF(S201=0,"",INDEX(Escaleta!$I$1:$I$504,S201))</f>
        <v/>
      </c>
    </row>
    <row r="202" ht="18" customHeight="1">
      <c r="A202" s="48">
        <f>IF(A201="","",IF(A201+Configuración!$C$7/1440&gt;Configuración!$C$6-0.0001,"",A201+Configuración!$C$7/1440))</f>
        <v/>
      </c>
      <c r="B202" s="49">
        <f>IF(L202=0,"",IF(L202&lt;&gt;L201,INDEX(Escaleta!$F$1:$F$504,L202),IF(L202&lt;&gt;L200,TEXT(INDEX(Escaleta!$C$1:$C$504,L202),"hh:mm")&amp;"–"&amp;TEXT(INDEX(Escaleta!$E$1:$E$504,L202),"hh:mm"),"")))</f>
        <v/>
      </c>
      <c r="C202" s="49">
        <f>IF(M202=0,"",IF(M202&lt;&gt;M201,INDEX(Escaleta!$F$1:$F$504,M202),IF(M202&lt;&gt;M200,TEXT(INDEX(Escaleta!$C$1:$C$504,M202),"hh:mm")&amp;"–"&amp;TEXT(INDEX(Escaleta!$E$1:$E$504,M202),"hh:mm"),"")))</f>
        <v/>
      </c>
      <c r="D202" s="49">
        <f>IF(N202=0,"",IF(N202&lt;&gt;N201,INDEX(Escaleta!$F$1:$F$504,N202),IF(N202&lt;&gt;N200,TEXT(INDEX(Escaleta!$C$1:$C$504,N202),"hh:mm")&amp;"–"&amp;TEXT(INDEX(Escaleta!$E$1:$E$504,N202),"hh:mm"),"")))</f>
        <v/>
      </c>
      <c r="E202" s="49">
        <f>IF(O202=0,"",IF(O202&lt;&gt;O201,INDEX(Escaleta!$F$1:$F$504,O202),IF(O202&lt;&gt;O200,TEXT(INDEX(Escaleta!$C$1:$C$504,O202),"hh:mm")&amp;"–"&amp;TEXT(INDEX(Escaleta!$E$1:$E$504,O202),"hh:mm"),"")))</f>
        <v/>
      </c>
      <c r="F202" s="49">
        <f>IF(P202=0,"",IF(P202&lt;&gt;P201,INDEX(Escaleta!$F$1:$F$504,P202),IF(P202&lt;&gt;P200,TEXT(INDEX(Escaleta!$C$1:$C$504,P202),"hh:mm")&amp;"–"&amp;TEXT(INDEX(Escaleta!$E$1:$E$504,P202),"hh:mm"),"")))</f>
        <v/>
      </c>
      <c r="G202" s="49">
        <f>IF(Q202=0,"",IF(Q202&lt;&gt;Q201,INDEX(Escaleta!$F$1:$F$504,Q202),IF(Q202&lt;&gt;Q200,TEXT(INDEX(Escaleta!$C$1:$C$504,Q202),"hh:mm")&amp;"–"&amp;TEXT(INDEX(Escaleta!$E$1:$E$504,Q202),"hh:mm"),"")))</f>
        <v/>
      </c>
      <c r="H202" s="49">
        <f>IF(R202=0,"",IF(R202&lt;&gt;R201,INDEX(Escaleta!$F$1:$F$504,R202),IF(R202&lt;&gt;R200,TEXT(INDEX(Escaleta!$C$1:$C$504,R202),"hh:mm")&amp;"–"&amp;TEXT(INDEX(Escaleta!$E$1:$E$504,R202),"hh:mm"),"")))</f>
        <v/>
      </c>
      <c r="I202" s="49">
        <f>IF(S202=0,"",IF(S202&lt;&gt;S201,INDEX(Escaleta!$F$1:$F$504,S202),IF(S202&lt;&gt;S200,TEXT(INDEX(Escaleta!$C$1:$C$504,S202),"hh:mm")&amp;"–"&amp;TEXT(INDEX(Escaleta!$E$1:$E$504,S202),"hh:mm"),"")))</f>
        <v/>
      </c>
      <c r="L202" s="50">
        <f>IF(OR($A202="",B$6=""),0,SUMPRODUCT(MAX((Escaleta!$A$5:$A$504=$B$4)*(Escaleta!$H$5:$H$504=B$6)*(Escaleta!$K$5:$K$504&lt;&gt;"Cancelada")*(Escaleta!$C$5:$C$504&lt;$A202+Configuración!$C$7/1440)*(Escaleta!$E$5:$E$504&gt;$A202)*ROW(Escaleta!$A$5:$A$504))))</f>
        <v/>
      </c>
      <c r="M202" s="50">
        <f>IF(OR($A202="",C$6=""),0,SUMPRODUCT(MAX((Escaleta!$A$5:$A$504=$B$4)*(Escaleta!$H$5:$H$504=C$6)*(Escaleta!$K$5:$K$504&lt;&gt;"Cancelada")*(Escaleta!$C$5:$C$504&lt;$A202+Configuración!$C$7/1440)*(Escaleta!$E$5:$E$504&gt;$A202)*ROW(Escaleta!$A$5:$A$504))))</f>
        <v/>
      </c>
      <c r="N202" s="50">
        <f>IF(OR($A202="",D$6=""),0,SUMPRODUCT(MAX((Escaleta!$A$5:$A$504=$B$4)*(Escaleta!$H$5:$H$504=D$6)*(Escaleta!$K$5:$K$504&lt;&gt;"Cancelada")*(Escaleta!$C$5:$C$504&lt;$A202+Configuración!$C$7/1440)*(Escaleta!$E$5:$E$504&gt;$A202)*ROW(Escaleta!$A$5:$A$504))))</f>
        <v/>
      </c>
      <c r="O202" s="50">
        <f>IF(OR($A202="",E$6=""),0,SUMPRODUCT(MAX((Escaleta!$A$5:$A$504=$B$4)*(Escaleta!$H$5:$H$504=E$6)*(Escaleta!$K$5:$K$504&lt;&gt;"Cancelada")*(Escaleta!$C$5:$C$504&lt;$A202+Configuración!$C$7/1440)*(Escaleta!$E$5:$E$504&gt;$A202)*ROW(Escaleta!$A$5:$A$504))))</f>
        <v/>
      </c>
      <c r="P202" s="50">
        <f>IF(OR($A202="",F$6=""),0,SUMPRODUCT(MAX((Escaleta!$A$5:$A$504=$B$4)*(Escaleta!$H$5:$H$504=F$6)*(Escaleta!$K$5:$K$504&lt;&gt;"Cancelada")*(Escaleta!$C$5:$C$504&lt;$A202+Configuración!$C$7/1440)*(Escaleta!$E$5:$E$504&gt;$A202)*ROW(Escaleta!$A$5:$A$504))))</f>
        <v/>
      </c>
      <c r="Q202" s="50">
        <f>IF(OR($A202="",G$6=""),0,SUMPRODUCT(MAX((Escaleta!$A$5:$A$504=$B$4)*(Escaleta!$H$5:$H$504=G$6)*(Escaleta!$K$5:$K$504&lt;&gt;"Cancelada")*(Escaleta!$C$5:$C$504&lt;$A202+Configuración!$C$7/1440)*(Escaleta!$E$5:$E$504&gt;$A202)*ROW(Escaleta!$A$5:$A$504))))</f>
        <v/>
      </c>
      <c r="R202" s="50">
        <f>IF(OR($A202="",H$6=""),0,SUMPRODUCT(MAX((Escaleta!$A$5:$A$504=$B$4)*(Escaleta!$H$5:$H$504=H$6)*(Escaleta!$K$5:$K$504&lt;&gt;"Cancelada")*(Escaleta!$C$5:$C$504&lt;$A202+Configuración!$C$7/1440)*(Escaleta!$E$5:$E$504&gt;$A202)*ROW(Escaleta!$A$5:$A$504))))</f>
        <v/>
      </c>
      <c r="S202" s="50">
        <f>IF(OR($A202="",I$6=""),0,SUMPRODUCT(MAX((Escaleta!$A$5:$A$504=$B$4)*(Escaleta!$H$5:$H$504=I$6)*(Escaleta!$K$5:$K$504&lt;&gt;"Cancelada")*(Escaleta!$C$5:$C$504&lt;$A202+Configuración!$C$7/1440)*(Escaleta!$E$5:$E$504&gt;$A202)*ROW(Escaleta!$A$5:$A$504))))</f>
        <v/>
      </c>
      <c r="U202" s="50">
        <f>IF(L202=0,"",INDEX(Escaleta!$I$1:$I$504,L202))</f>
        <v/>
      </c>
      <c r="V202" s="50">
        <f>IF(M202=0,"",INDEX(Escaleta!$I$1:$I$504,M202))</f>
        <v/>
      </c>
      <c r="W202" s="50">
        <f>IF(N202=0,"",INDEX(Escaleta!$I$1:$I$504,N202))</f>
        <v/>
      </c>
      <c r="X202" s="50">
        <f>IF(O202=0,"",INDEX(Escaleta!$I$1:$I$504,O202))</f>
        <v/>
      </c>
      <c r="Y202" s="50">
        <f>IF(P202=0,"",INDEX(Escaleta!$I$1:$I$504,P202))</f>
        <v/>
      </c>
      <c r="Z202" s="50">
        <f>IF(Q202=0,"",INDEX(Escaleta!$I$1:$I$504,Q202))</f>
        <v/>
      </c>
      <c r="AA202" s="50">
        <f>IF(R202=0,"",INDEX(Escaleta!$I$1:$I$504,R202))</f>
        <v/>
      </c>
      <c r="AB202" s="50">
        <f>IF(S202=0,"",INDEX(Escaleta!$I$1:$I$504,S202))</f>
        <v/>
      </c>
    </row>
    <row r="203" ht="18" customHeight="1">
      <c r="A203" s="48">
        <f>IF(A202="","",IF(A202+Configuración!$C$7/1440&gt;Configuración!$C$6-0.0001,"",A202+Configuración!$C$7/1440))</f>
        <v/>
      </c>
      <c r="B203" s="49">
        <f>IF(L203=0,"",IF(L203&lt;&gt;L202,INDEX(Escaleta!$F$1:$F$504,L203),IF(L203&lt;&gt;L201,TEXT(INDEX(Escaleta!$C$1:$C$504,L203),"hh:mm")&amp;"–"&amp;TEXT(INDEX(Escaleta!$E$1:$E$504,L203),"hh:mm"),"")))</f>
        <v/>
      </c>
      <c r="C203" s="49">
        <f>IF(M203=0,"",IF(M203&lt;&gt;M202,INDEX(Escaleta!$F$1:$F$504,M203),IF(M203&lt;&gt;M201,TEXT(INDEX(Escaleta!$C$1:$C$504,M203),"hh:mm")&amp;"–"&amp;TEXT(INDEX(Escaleta!$E$1:$E$504,M203),"hh:mm"),"")))</f>
        <v/>
      </c>
      <c r="D203" s="49">
        <f>IF(N203=0,"",IF(N203&lt;&gt;N202,INDEX(Escaleta!$F$1:$F$504,N203),IF(N203&lt;&gt;N201,TEXT(INDEX(Escaleta!$C$1:$C$504,N203),"hh:mm")&amp;"–"&amp;TEXT(INDEX(Escaleta!$E$1:$E$504,N203),"hh:mm"),"")))</f>
        <v/>
      </c>
      <c r="E203" s="49">
        <f>IF(O203=0,"",IF(O203&lt;&gt;O202,INDEX(Escaleta!$F$1:$F$504,O203),IF(O203&lt;&gt;O201,TEXT(INDEX(Escaleta!$C$1:$C$504,O203),"hh:mm")&amp;"–"&amp;TEXT(INDEX(Escaleta!$E$1:$E$504,O203),"hh:mm"),"")))</f>
        <v/>
      </c>
      <c r="F203" s="49">
        <f>IF(P203=0,"",IF(P203&lt;&gt;P202,INDEX(Escaleta!$F$1:$F$504,P203),IF(P203&lt;&gt;P201,TEXT(INDEX(Escaleta!$C$1:$C$504,P203),"hh:mm")&amp;"–"&amp;TEXT(INDEX(Escaleta!$E$1:$E$504,P203),"hh:mm"),"")))</f>
        <v/>
      </c>
      <c r="G203" s="49">
        <f>IF(Q203=0,"",IF(Q203&lt;&gt;Q202,INDEX(Escaleta!$F$1:$F$504,Q203),IF(Q203&lt;&gt;Q201,TEXT(INDEX(Escaleta!$C$1:$C$504,Q203),"hh:mm")&amp;"–"&amp;TEXT(INDEX(Escaleta!$E$1:$E$504,Q203),"hh:mm"),"")))</f>
        <v/>
      </c>
      <c r="H203" s="49">
        <f>IF(R203=0,"",IF(R203&lt;&gt;R202,INDEX(Escaleta!$F$1:$F$504,R203),IF(R203&lt;&gt;R201,TEXT(INDEX(Escaleta!$C$1:$C$504,R203),"hh:mm")&amp;"–"&amp;TEXT(INDEX(Escaleta!$E$1:$E$504,R203),"hh:mm"),"")))</f>
        <v/>
      </c>
      <c r="I203" s="49">
        <f>IF(S203=0,"",IF(S203&lt;&gt;S202,INDEX(Escaleta!$F$1:$F$504,S203),IF(S203&lt;&gt;S201,TEXT(INDEX(Escaleta!$C$1:$C$504,S203),"hh:mm")&amp;"–"&amp;TEXT(INDEX(Escaleta!$E$1:$E$504,S203),"hh:mm"),"")))</f>
        <v/>
      </c>
      <c r="L203" s="50">
        <f>IF(OR($A203="",B$6=""),0,SUMPRODUCT(MAX((Escaleta!$A$5:$A$504=$B$4)*(Escaleta!$H$5:$H$504=B$6)*(Escaleta!$K$5:$K$504&lt;&gt;"Cancelada")*(Escaleta!$C$5:$C$504&lt;$A203+Configuración!$C$7/1440)*(Escaleta!$E$5:$E$504&gt;$A203)*ROW(Escaleta!$A$5:$A$504))))</f>
        <v/>
      </c>
      <c r="M203" s="50">
        <f>IF(OR($A203="",C$6=""),0,SUMPRODUCT(MAX((Escaleta!$A$5:$A$504=$B$4)*(Escaleta!$H$5:$H$504=C$6)*(Escaleta!$K$5:$K$504&lt;&gt;"Cancelada")*(Escaleta!$C$5:$C$504&lt;$A203+Configuración!$C$7/1440)*(Escaleta!$E$5:$E$504&gt;$A203)*ROW(Escaleta!$A$5:$A$504))))</f>
        <v/>
      </c>
      <c r="N203" s="50">
        <f>IF(OR($A203="",D$6=""),0,SUMPRODUCT(MAX((Escaleta!$A$5:$A$504=$B$4)*(Escaleta!$H$5:$H$504=D$6)*(Escaleta!$K$5:$K$504&lt;&gt;"Cancelada")*(Escaleta!$C$5:$C$504&lt;$A203+Configuración!$C$7/1440)*(Escaleta!$E$5:$E$504&gt;$A203)*ROW(Escaleta!$A$5:$A$504))))</f>
        <v/>
      </c>
      <c r="O203" s="50">
        <f>IF(OR($A203="",E$6=""),0,SUMPRODUCT(MAX((Escaleta!$A$5:$A$504=$B$4)*(Escaleta!$H$5:$H$504=E$6)*(Escaleta!$K$5:$K$504&lt;&gt;"Cancelada")*(Escaleta!$C$5:$C$504&lt;$A203+Configuración!$C$7/1440)*(Escaleta!$E$5:$E$504&gt;$A203)*ROW(Escaleta!$A$5:$A$504))))</f>
        <v/>
      </c>
      <c r="P203" s="50">
        <f>IF(OR($A203="",F$6=""),0,SUMPRODUCT(MAX((Escaleta!$A$5:$A$504=$B$4)*(Escaleta!$H$5:$H$504=F$6)*(Escaleta!$K$5:$K$504&lt;&gt;"Cancelada")*(Escaleta!$C$5:$C$504&lt;$A203+Configuración!$C$7/1440)*(Escaleta!$E$5:$E$504&gt;$A203)*ROW(Escaleta!$A$5:$A$504))))</f>
        <v/>
      </c>
      <c r="Q203" s="50">
        <f>IF(OR($A203="",G$6=""),0,SUMPRODUCT(MAX((Escaleta!$A$5:$A$504=$B$4)*(Escaleta!$H$5:$H$504=G$6)*(Escaleta!$K$5:$K$504&lt;&gt;"Cancelada")*(Escaleta!$C$5:$C$504&lt;$A203+Configuración!$C$7/1440)*(Escaleta!$E$5:$E$504&gt;$A203)*ROW(Escaleta!$A$5:$A$504))))</f>
        <v/>
      </c>
      <c r="R203" s="50">
        <f>IF(OR($A203="",H$6=""),0,SUMPRODUCT(MAX((Escaleta!$A$5:$A$504=$B$4)*(Escaleta!$H$5:$H$504=H$6)*(Escaleta!$K$5:$K$504&lt;&gt;"Cancelada")*(Escaleta!$C$5:$C$504&lt;$A203+Configuración!$C$7/1440)*(Escaleta!$E$5:$E$504&gt;$A203)*ROW(Escaleta!$A$5:$A$504))))</f>
        <v/>
      </c>
      <c r="S203" s="50">
        <f>IF(OR($A203="",I$6=""),0,SUMPRODUCT(MAX((Escaleta!$A$5:$A$504=$B$4)*(Escaleta!$H$5:$H$504=I$6)*(Escaleta!$K$5:$K$504&lt;&gt;"Cancelada")*(Escaleta!$C$5:$C$504&lt;$A203+Configuración!$C$7/1440)*(Escaleta!$E$5:$E$504&gt;$A203)*ROW(Escaleta!$A$5:$A$504))))</f>
        <v/>
      </c>
      <c r="U203" s="50">
        <f>IF(L203=0,"",INDEX(Escaleta!$I$1:$I$504,L203))</f>
        <v/>
      </c>
      <c r="V203" s="50">
        <f>IF(M203=0,"",INDEX(Escaleta!$I$1:$I$504,M203))</f>
        <v/>
      </c>
      <c r="W203" s="50">
        <f>IF(N203=0,"",INDEX(Escaleta!$I$1:$I$504,N203))</f>
        <v/>
      </c>
      <c r="X203" s="50">
        <f>IF(O203=0,"",INDEX(Escaleta!$I$1:$I$504,O203))</f>
        <v/>
      </c>
      <c r="Y203" s="50">
        <f>IF(P203=0,"",INDEX(Escaleta!$I$1:$I$504,P203))</f>
        <v/>
      </c>
      <c r="Z203" s="50">
        <f>IF(Q203=0,"",INDEX(Escaleta!$I$1:$I$504,Q203))</f>
        <v/>
      </c>
      <c r="AA203" s="50">
        <f>IF(R203=0,"",INDEX(Escaleta!$I$1:$I$504,R203))</f>
        <v/>
      </c>
      <c r="AB203" s="50">
        <f>IF(S203=0,"",INDEX(Escaleta!$I$1:$I$504,S203))</f>
        <v/>
      </c>
    </row>
    <row r="204" ht="18" customHeight="1">
      <c r="A204" s="48">
        <f>IF(A203="","",IF(A203+Configuración!$C$7/1440&gt;Configuración!$C$6-0.0001,"",A203+Configuración!$C$7/1440))</f>
        <v/>
      </c>
      <c r="B204" s="49">
        <f>IF(L204=0,"",IF(L204&lt;&gt;L203,INDEX(Escaleta!$F$1:$F$504,L204),IF(L204&lt;&gt;L202,TEXT(INDEX(Escaleta!$C$1:$C$504,L204),"hh:mm")&amp;"–"&amp;TEXT(INDEX(Escaleta!$E$1:$E$504,L204),"hh:mm"),"")))</f>
        <v/>
      </c>
      <c r="C204" s="49">
        <f>IF(M204=0,"",IF(M204&lt;&gt;M203,INDEX(Escaleta!$F$1:$F$504,M204),IF(M204&lt;&gt;M202,TEXT(INDEX(Escaleta!$C$1:$C$504,M204),"hh:mm")&amp;"–"&amp;TEXT(INDEX(Escaleta!$E$1:$E$504,M204),"hh:mm"),"")))</f>
        <v/>
      </c>
      <c r="D204" s="49">
        <f>IF(N204=0,"",IF(N204&lt;&gt;N203,INDEX(Escaleta!$F$1:$F$504,N204),IF(N204&lt;&gt;N202,TEXT(INDEX(Escaleta!$C$1:$C$504,N204),"hh:mm")&amp;"–"&amp;TEXT(INDEX(Escaleta!$E$1:$E$504,N204),"hh:mm"),"")))</f>
        <v/>
      </c>
      <c r="E204" s="49">
        <f>IF(O204=0,"",IF(O204&lt;&gt;O203,INDEX(Escaleta!$F$1:$F$504,O204),IF(O204&lt;&gt;O202,TEXT(INDEX(Escaleta!$C$1:$C$504,O204),"hh:mm")&amp;"–"&amp;TEXT(INDEX(Escaleta!$E$1:$E$504,O204),"hh:mm"),"")))</f>
        <v/>
      </c>
      <c r="F204" s="49">
        <f>IF(P204=0,"",IF(P204&lt;&gt;P203,INDEX(Escaleta!$F$1:$F$504,P204),IF(P204&lt;&gt;P202,TEXT(INDEX(Escaleta!$C$1:$C$504,P204),"hh:mm")&amp;"–"&amp;TEXT(INDEX(Escaleta!$E$1:$E$504,P204),"hh:mm"),"")))</f>
        <v/>
      </c>
      <c r="G204" s="49">
        <f>IF(Q204=0,"",IF(Q204&lt;&gt;Q203,INDEX(Escaleta!$F$1:$F$504,Q204),IF(Q204&lt;&gt;Q202,TEXT(INDEX(Escaleta!$C$1:$C$504,Q204),"hh:mm")&amp;"–"&amp;TEXT(INDEX(Escaleta!$E$1:$E$504,Q204),"hh:mm"),"")))</f>
        <v/>
      </c>
      <c r="H204" s="49">
        <f>IF(R204=0,"",IF(R204&lt;&gt;R203,INDEX(Escaleta!$F$1:$F$504,R204),IF(R204&lt;&gt;R202,TEXT(INDEX(Escaleta!$C$1:$C$504,R204),"hh:mm")&amp;"–"&amp;TEXT(INDEX(Escaleta!$E$1:$E$504,R204),"hh:mm"),"")))</f>
        <v/>
      </c>
      <c r="I204" s="49">
        <f>IF(S204=0,"",IF(S204&lt;&gt;S203,INDEX(Escaleta!$F$1:$F$504,S204),IF(S204&lt;&gt;S202,TEXT(INDEX(Escaleta!$C$1:$C$504,S204),"hh:mm")&amp;"–"&amp;TEXT(INDEX(Escaleta!$E$1:$E$504,S204),"hh:mm"),"")))</f>
        <v/>
      </c>
      <c r="L204" s="50">
        <f>IF(OR($A204="",B$6=""),0,SUMPRODUCT(MAX((Escaleta!$A$5:$A$504=$B$4)*(Escaleta!$H$5:$H$504=B$6)*(Escaleta!$K$5:$K$504&lt;&gt;"Cancelada")*(Escaleta!$C$5:$C$504&lt;$A204+Configuración!$C$7/1440)*(Escaleta!$E$5:$E$504&gt;$A204)*ROW(Escaleta!$A$5:$A$504))))</f>
        <v/>
      </c>
      <c r="M204" s="50">
        <f>IF(OR($A204="",C$6=""),0,SUMPRODUCT(MAX((Escaleta!$A$5:$A$504=$B$4)*(Escaleta!$H$5:$H$504=C$6)*(Escaleta!$K$5:$K$504&lt;&gt;"Cancelada")*(Escaleta!$C$5:$C$504&lt;$A204+Configuración!$C$7/1440)*(Escaleta!$E$5:$E$504&gt;$A204)*ROW(Escaleta!$A$5:$A$504))))</f>
        <v/>
      </c>
      <c r="N204" s="50">
        <f>IF(OR($A204="",D$6=""),0,SUMPRODUCT(MAX((Escaleta!$A$5:$A$504=$B$4)*(Escaleta!$H$5:$H$504=D$6)*(Escaleta!$K$5:$K$504&lt;&gt;"Cancelada")*(Escaleta!$C$5:$C$504&lt;$A204+Configuración!$C$7/1440)*(Escaleta!$E$5:$E$504&gt;$A204)*ROW(Escaleta!$A$5:$A$504))))</f>
        <v/>
      </c>
      <c r="O204" s="50">
        <f>IF(OR($A204="",E$6=""),0,SUMPRODUCT(MAX((Escaleta!$A$5:$A$504=$B$4)*(Escaleta!$H$5:$H$504=E$6)*(Escaleta!$K$5:$K$504&lt;&gt;"Cancelada")*(Escaleta!$C$5:$C$504&lt;$A204+Configuración!$C$7/1440)*(Escaleta!$E$5:$E$504&gt;$A204)*ROW(Escaleta!$A$5:$A$504))))</f>
        <v/>
      </c>
      <c r="P204" s="50">
        <f>IF(OR($A204="",F$6=""),0,SUMPRODUCT(MAX((Escaleta!$A$5:$A$504=$B$4)*(Escaleta!$H$5:$H$504=F$6)*(Escaleta!$K$5:$K$504&lt;&gt;"Cancelada")*(Escaleta!$C$5:$C$504&lt;$A204+Configuración!$C$7/1440)*(Escaleta!$E$5:$E$504&gt;$A204)*ROW(Escaleta!$A$5:$A$504))))</f>
        <v/>
      </c>
      <c r="Q204" s="50">
        <f>IF(OR($A204="",G$6=""),0,SUMPRODUCT(MAX((Escaleta!$A$5:$A$504=$B$4)*(Escaleta!$H$5:$H$504=G$6)*(Escaleta!$K$5:$K$504&lt;&gt;"Cancelada")*(Escaleta!$C$5:$C$504&lt;$A204+Configuración!$C$7/1440)*(Escaleta!$E$5:$E$504&gt;$A204)*ROW(Escaleta!$A$5:$A$504))))</f>
        <v/>
      </c>
      <c r="R204" s="50">
        <f>IF(OR($A204="",H$6=""),0,SUMPRODUCT(MAX((Escaleta!$A$5:$A$504=$B$4)*(Escaleta!$H$5:$H$504=H$6)*(Escaleta!$K$5:$K$504&lt;&gt;"Cancelada")*(Escaleta!$C$5:$C$504&lt;$A204+Configuración!$C$7/1440)*(Escaleta!$E$5:$E$504&gt;$A204)*ROW(Escaleta!$A$5:$A$504))))</f>
        <v/>
      </c>
      <c r="S204" s="50">
        <f>IF(OR($A204="",I$6=""),0,SUMPRODUCT(MAX((Escaleta!$A$5:$A$504=$B$4)*(Escaleta!$H$5:$H$504=I$6)*(Escaleta!$K$5:$K$504&lt;&gt;"Cancelada")*(Escaleta!$C$5:$C$504&lt;$A204+Configuración!$C$7/1440)*(Escaleta!$E$5:$E$504&gt;$A204)*ROW(Escaleta!$A$5:$A$504))))</f>
        <v/>
      </c>
      <c r="U204" s="50">
        <f>IF(L204=0,"",INDEX(Escaleta!$I$1:$I$504,L204))</f>
        <v/>
      </c>
      <c r="V204" s="50">
        <f>IF(M204=0,"",INDEX(Escaleta!$I$1:$I$504,M204))</f>
        <v/>
      </c>
      <c r="W204" s="50">
        <f>IF(N204=0,"",INDEX(Escaleta!$I$1:$I$504,N204))</f>
        <v/>
      </c>
      <c r="X204" s="50">
        <f>IF(O204=0,"",INDEX(Escaleta!$I$1:$I$504,O204))</f>
        <v/>
      </c>
      <c r="Y204" s="50">
        <f>IF(P204=0,"",INDEX(Escaleta!$I$1:$I$504,P204))</f>
        <v/>
      </c>
      <c r="Z204" s="50">
        <f>IF(Q204=0,"",INDEX(Escaleta!$I$1:$I$504,Q204))</f>
        <v/>
      </c>
      <c r="AA204" s="50">
        <f>IF(R204=0,"",INDEX(Escaleta!$I$1:$I$504,R204))</f>
        <v/>
      </c>
      <c r="AB204" s="50">
        <f>IF(S204=0,"",INDEX(Escaleta!$I$1:$I$504,S204))</f>
        <v/>
      </c>
    </row>
    <row r="205" ht="18" customHeight="1">
      <c r="A205" s="48">
        <f>IF(A204="","",IF(A204+Configuración!$C$7/1440&gt;Configuración!$C$6-0.0001,"",A204+Configuración!$C$7/1440))</f>
        <v/>
      </c>
      <c r="B205" s="49">
        <f>IF(L205=0,"",IF(L205&lt;&gt;L204,INDEX(Escaleta!$F$1:$F$504,L205),IF(L205&lt;&gt;L203,TEXT(INDEX(Escaleta!$C$1:$C$504,L205),"hh:mm")&amp;"–"&amp;TEXT(INDEX(Escaleta!$E$1:$E$504,L205),"hh:mm"),"")))</f>
        <v/>
      </c>
      <c r="C205" s="49">
        <f>IF(M205=0,"",IF(M205&lt;&gt;M204,INDEX(Escaleta!$F$1:$F$504,M205),IF(M205&lt;&gt;M203,TEXT(INDEX(Escaleta!$C$1:$C$504,M205),"hh:mm")&amp;"–"&amp;TEXT(INDEX(Escaleta!$E$1:$E$504,M205),"hh:mm"),"")))</f>
        <v/>
      </c>
      <c r="D205" s="49">
        <f>IF(N205=0,"",IF(N205&lt;&gt;N204,INDEX(Escaleta!$F$1:$F$504,N205),IF(N205&lt;&gt;N203,TEXT(INDEX(Escaleta!$C$1:$C$504,N205),"hh:mm")&amp;"–"&amp;TEXT(INDEX(Escaleta!$E$1:$E$504,N205),"hh:mm"),"")))</f>
        <v/>
      </c>
      <c r="E205" s="49">
        <f>IF(O205=0,"",IF(O205&lt;&gt;O204,INDEX(Escaleta!$F$1:$F$504,O205),IF(O205&lt;&gt;O203,TEXT(INDEX(Escaleta!$C$1:$C$504,O205),"hh:mm")&amp;"–"&amp;TEXT(INDEX(Escaleta!$E$1:$E$504,O205),"hh:mm"),"")))</f>
        <v/>
      </c>
      <c r="F205" s="49">
        <f>IF(P205=0,"",IF(P205&lt;&gt;P204,INDEX(Escaleta!$F$1:$F$504,P205),IF(P205&lt;&gt;P203,TEXT(INDEX(Escaleta!$C$1:$C$504,P205),"hh:mm")&amp;"–"&amp;TEXT(INDEX(Escaleta!$E$1:$E$504,P205),"hh:mm"),"")))</f>
        <v/>
      </c>
      <c r="G205" s="49">
        <f>IF(Q205=0,"",IF(Q205&lt;&gt;Q204,INDEX(Escaleta!$F$1:$F$504,Q205),IF(Q205&lt;&gt;Q203,TEXT(INDEX(Escaleta!$C$1:$C$504,Q205),"hh:mm")&amp;"–"&amp;TEXT(INDEX(Escaleta!$E$1:$E$504,Q205),"hh:mm"),"")))</f>
        <v/>
      </c>
      <c r="H205" s="49">
        <f>IF(R205=0,"",IF(R205&lt;&gt;R204,INDEX(Escaleta!$F$1:$F$504,R205),IF(R205&lt;&gt;R203,TEXT(INDEX(Escaleta!$C$1:$C$504,R205),"hh:mm")&amp;"–"&amp;TEXT(INDEX(Escaleta!$E$1:$E$504,R205),"hh:mm"),"")))</f>
        <v/>
      </c>
      <c r="I205" s="49">
        <f>IF(S205=0,"",IF(S205&lt;&gt;S204,INDEX(Escaleta!$F$1:$F$504,S205),IF(S205&lt;&gt;S203,TEXT(INDEX(Escaleta!$C$1:$C$504,S205),"hh:mm")&amp;"–"&amp;TEXT(INDEX(Escaleta!$E$1:$E$504,S205),"hh:mm"),"")))</f>
        <v/>
      </c>
      <c r="L205" s="50">
        <f>IF(OR($A205="",B$6=""),0,SUMPRODUCT(MAX((Escaleta!$A$5:$A$504=$B$4)*(Escaleta!$H$5:$H$504=B$6)*(Escaleta!$K$5:$K$504&lt;&gt;"Cancelada")*(Escaleta!$C$5:$C$504&lt;$A205+Configuración!$C$7/1440)*(Escaleta!$E$5:$E$504&gt;$A205)*ROW(Escaleta!$A$5:$A$504))))</f>
        <v/>
      </c>
      <c r="M205" s="50">
        <f>IF(OR($A205="",C$6=""),0,SUMPRODUCT(MAX((Escaleta!$A$5:$A$504=$B$4)*(Escaleta!$H$5:$H$504=C$6)*(Escaleta!$K$5:$K$504&lt;&gt;"Cancelada")*(Escaleta!$C$5:$C$504&lt;$A205+Configuración!$C$7/1440)*(Escaleta!$E$5:$E$504&gt;$A205)*ROW(Escaleta!$A$5:$A$504))))</f>
        <v/>
      </c>
      <c r="N205" s="50">
        <f>IF(OR($A205="",D$6=""),0,SUMPRODUCT(MAX((Escaleta!$A$5:$A$504=$B$4)*(Escaleta!$H$5:$H$504=D$6)*(Escaleta!$K$5:$K$504&lt;&gt;"Cancelada")*(Escaleta!$C$5:$C$504&lt;$A205+Configuración!$C$7/1440)*(Escaleta!$E$5:$E$504&gt;$A205)*ROW(Escaleta!$A$5:$A$504))))</f>
        <v/>
      </c>
      <c r="O205" s="50">
        <f>IF(OR($A205="",E$6=""),0,SUMPRODUCT(MAX((Escaleta!$A$5:$A$504=$B$4)*(Escaleta!$H$5:$H$504=E$6)*(Escaleta!$K$5:$K$504&lt;&gt;"Cancelada")*(Escaleta!$C$5:$C$504&lt;$A205+Configuración!$C$7/1440)*(Escaleta!$E$5:$E$504&gt;$A205)*ROW(Escaleta!$A$5:$A$504))))</f>
        <v/>
      </c>
      <c r="P205" s="50">
        <f>IF(OR($A205="",F$6=""),0,SUMPRODUCT(MAX((Escaleta!$A$5:$A$504=$B$4)*(Escaleta!$H$5:$H$504=F$6)*(Escaleta!$K$5:$K$504&lt;&gt;"Cancelada")*(Escaleta!$C$5:$C$504&lt;$A205+Configuración!$C$7/1440)*(Escaleta!$E$5:$E$504&gt;$A205)*ROW(Escaleta!$A$5:$A$504))))</f>
        <v/>
      </c>
      <c r="Q205" s="50">
        <f>IF(OR($A205="",G$6=""),0,SUMPRODUCT(MAX((Escaleta!$A$5:$A$504=$B$4)*(Escaleta!$H$5:$H$504=G$6)*(Escaleta!$K$5:$K$504&lt;&gt;"Cancelada")*(Escaleta!$C$5:$C$504&lt;$A205+Configuración!$C$7/1440)*(Escaleta!$E$5:$E$504&gt;$A205)*ROW(Escaleta!$A$5:$A$504))))</f>
        <v/>
      </c>
      <c r="R205" s="50">
        <f>IF(OR($A205="",H$6=""),0,SUMPRODUCT(MAX((Escaleta!$A$5:$A$504=$B$4)*(Escaleta!$H$5:$H$504=H$6)*(Escaleta!$K$5:$K$504&lt;&gt;"Cancelada")*(Escaleta!$C$5:$C$504&lt;$A205+Configuración!$C$7/1440)*(Escaleta!$E$5:$E$504&gt;$A205)*ROW(Escaleta!$A$5:$A$504))))</f>
        <v/>
      </c>
      <c r="S205" s="50">
        <f>IF(OR($A205="",I$6=""),0,SUMPRODUCT(MAX((Escaleta!$A$5:$A$504=$B$4)*(Escaleta!$H$5:$H$504=I$6)*(Escaleta!$K$5:$K$504&lt;&gt;"Cancelada")*(Escaleta!$C$5:$C$504&lt;$A205+Configuración!$C$7/1440)*(Escaleta!$E$5:$E$504&gt;$A205)*ROW(Escaleta!$A$5:$A$504))))</f>
        <v/>
      </c>
      <c r="U205" s="50">
        <f>IF(L205=0,"",INDEX(Escaleta!$I$1:$I$504,L205))</f>
        <v/>
      </c>
      <c r="V205" s="50">
        <f>IF(M205=0,"",INDEX(Escaleta!$I$1:$I$504,M205))</f>
        <v/>
      </c>
      <c r="W205" s="50">
        <f>IF(N205=0,"",INDEX(Escaleta!$I$1:$I$504,N205))</f>
        <v/>
      </c>
      <c r="X205" s="50">
        <f>IF(O205=0,"",INDEX(Escaleta!$I$1:$I$504,O205))</f>
        <v/>
      </c>
      <c r="Y205" s="50">
        <f>IF(P205=0,"",INDEX(Escaleta!$I$1:$I$504,P205))</f>
        <v/>
      </c>
      <c r="Z205" s="50">
        <f>IF(Q205=0,"",INDEX(Escaleta!$I$1:$I$504,Q205))</f>
        <v/>
      </c>
      <c r="AA205" s="50">
        <f>IF(R205=0,"",INDEX(Escaleta!$I$1:$I$504,R205))</f>
        <v/>
      </c>
      <c r="AB205" s="50">
        <f>IF(S205=0,"",INDEX(Escaleta!$I$1:$I$504,S205))</f>
        <v/>
      </c>
    </row>
    <row r="206" ht="18" customHeight="1">
      <c r="A206" s="48">
        <f>IF(A205="","",IF(A205+Configuración!$C$7/1440&gt;Configuración!$C$6-0.0001,"",A205+Configuración!$C$7/1440))</f>
        <v/>
      </c>
      <c r="B206" s="49">
        <f>IF(L206=0,"",IF(L206&lt;&gt;L205,INDEX(Escaleta!$F$1:$F$504,L206),IF(L206&lt;&gt;L204,TEXT(INDEX(Escaleta!$C$1:$C$504,L206),"hh:mm")&amp;"–"&amp;TEXT(INDEX(Escaleta!$E$1:$E$504,L206),"hh:mm"),"")))</f>
        <v/>
      </c>
      <c r="C206" s="49">
        <f>IF(M206=0,"",IF(M206&lt;&gt;M205,INDEX(Escaleta!$F$1:$F$504,M206),IF(M206&lt;&gt;M204,TEXT(INDEX(Escaleta!$C$1:$C$504,M206),"hh:mm")&amp;"–"&amp;TEXT(INDEX(Escaleta!$E$1:$E$504,M206),"hh:mm"),"")))</f>
        <v/>
      </c>
      <c r="D206" s="49">
        <f>IF(N206=0,"",IF(N206&lt;&gt;N205,INDEX(Escaleta!$F$1:$F$504,N206),IF(N206&lt;&gt;N204,TEXT(INDEX(Escaleta!$C$1:$C$504,N206),"hh:mm")&amp;"–"&amp;TEXT(INDEX(Escaleta!$E$1:$E$504,N206),"hh:mm"),"")))</f>
        <v/>
      </c>
      <c r="E206" s="49">
        <f>IF(O206=0,"",IF(O206&lt;&gt;O205,INDEX(Escaleta!$F$1:$F$504,O206),IF(O206&lt;&gt;O204,TEXT(INDEX(Escaleta!$C$1:$C$504,O206),"hh:mm")&amp;"–"&amp;TEXT(INDEX(Escaleta!$E$1:$E$504,O206),"hh:mm"),"")))</f>
        <v/>
      </c>
      <c r="F206" s="49">
        <f>IF(P206=0,"",IF(P206&lt;&gt;P205,INDEX(Escaleta!$F$1:$F$504,P206),IF(P206&lt;&gt;P204,TEXT(INDEX(Escaleta!$C$1:$C$504,P206),"hh:mm")&amp;"–"&amp;TEXT(INDEX(Escaleta!$E$1:$E$504,P206),"hh:mm"),"")))</f>
        <v/>
      </c>
      <c r="G206" s="49">
        <f>IF(Q206=0,"",IF(Q206&lt;&gt;Q205,INDEX(Escaleta!$F$1:$F$504,Q206),IF(Q206&lt;&gt;Q204,TEXT(INDEX(Escaleta!$C$1:$C$504,Q206),"hh:mm")&amp;"–"&amp;TEXT(INDEX(Escaleta!$E$1:$E$504,Q206),"hh:mm"),"")))</f>
        <v/>
      </c>
      <c r="H206" s="49">
        <f>IF(R206=0,"",IF(R206&lt;&gt;R205,INDEX(Escaleta!$F$1:$F$504,R206),IF(R206&lt;&gt;R204,TEXT(INDEX(Escaleta!$C$1:$C$504,R206),"hh:mm")&amp;"–"&amp;TEXT(INDEX(Escaleta!$E$1:$E$504,R206),"hh:mm"),"")))</f>
        <v/>
      </c>
      <c r="I206" s="49">
        <f>IF(S206=0,"",IF(S206&lt;&gt;S205,INDEX(Escaleta!$F$1:$F$504,S206),IF(S206&lt;&gt;S204,TEXT(INDEX(Escaleta!$C$1:$C$504,S206),"hh:mm")&amp;"–"&amp;TEXT(INDEX(Escaleta!$E$1:$E$504,S206),"hh:mm"),"")))</f>
        <v/>
      </c>
      <c r="L206" s="50">
        <f>IF(OR($A206="",B$6=""),0,SUMPRODUCT(MAX((Escaleta!$A$5:$A$504=$B$4)*(Escaleta!$H$5:$H$504=B$6)*(Escaleta!$K$5:$K$504&lt;&gt;"Cancelada")*(Escaleta!$C$5:$C$504&lt;$A206+Configuración!$C$7/1440)*(Escaleta!$E$5:$E$504&gt;$A206)*ROW(Escaleta!$A$5:$A$504))))</f>
        <v/>
      </c>
      <c r="M206" s="50">
        <f>IF(OR($A206="",C$6=""),0,SUMPRODUCT(MAX((Escaleta!$A$5:$A$504=$B$4)*(Escaleta!$H$5:$H$504=C$6)*(Escaleta!$K$5:$K$504&lt;&gt;"Cancelada")*(Escaleta!$C$5:$C$504&lt;$A206+Configuración!$C$7/1440)*(Escaleta!$E$5:$E$504&gt;$A206)*ROW(Escaleta!$A$5:$A$504))))</f>
        <v/>
      </c>
      <c r="N206" s="50">
        <f>IF(OR($A206="",D$6=""),0,SUMPRODUCT(MAX((Escaleta!$A$5:$A$504=$B$4)*(Escaleta!$H$5:$H$504=D$6)*(Escaleta!$K$5:$K$504&lt;&gt;"Cancelada")*(Escaleta!$C$5:$C$504&lt;$A206+Configuración!$C$7/1440)*(Escaleta!$E$5:$E$504&gt;$A206)*ROW(Escaleta!$A$5:$A$504))))</f>
        <v/>
      </c>
      <c r="O206" s="50">
        <f>IF(OR($A206="",E$6=""),0,SUMPRODUCT(MAX((Escaleta!$A$5:$A$504=$B$4)*(Escaleta!$H$5:$H$504=E$6)*(Escaleta!$K$5:$K$504&lt;&gt;"Cancelada")*(Escaleta!$C$5:$C$504&lt;$A206+Configuración!$C$7/1440)*(Escaleta!$E$5:$E$504&gt;$A206)*ROW(Escaleta!$A$5:$A$504))))</f>
        <v/>
      </c>
      <c r="P206" s="50">
        <f>IF(OR($A206="",F$6=""),0,SUMPRODUCT(MAX((Escaleta!$A$5:$A$504=$B$4)*(Escaleta!$H$5:$H$504=F$6)*(Escaleta!$K$5:$K$504&lt;&gt;"Cancelada")*(Escaleta!$C$5:$C$504&lt;$A206+Configuración!$C$7/1440)*(Escaleta!$E$5:$E$504&gt;$A206)*ROW(Escaleta!$A$5:$A$504))))</f>
        <v/>
      </c>
      <c r="Q206" s="50">
        <f>IF(OR($A206="",G$6=""),0,SUMPRODUCT(MAX((Escaleta!$A$5:$A$504=$B$4)*(Escaleta!$H$5:$H$504=G$6)*(Escaleta!$K$5:$K$504&lt;&gt;"Cancelada")*(Escaleta!$C$5:$C$504&lt;$A206+Configuración!$C$7/1440)*(Escaleta!$E$5:$E$504&gt;$A206)*ROW(Escaleta!$A$5:$A$504))))</f>
        <v/>
      </c>
      <c r="R206" s="50">
        <f>IF(OR($A206="",H$6=""),0,SUMPRODUCT(MAX((Escaleta!$A$5:$A$504=$B$4)*(Escaleta!$H$5:$H$504=H$6)*(Escaleta!$K$5:$K$504&lt;&gt;"Cancelada")*(Escaleta!$C$5:$C$504&lt;$A206+Configuración!$C$7/1440)*(Escaleta!$E$5:$E$504&gt;$A206)*ROW(Escaleta!$A$5:$A$504))))</f>
        <v/>
      </c>
      <c r="S206" s="50">
        <f>IF(OR($A206="",I$6=""),0,SUMPRODUCT(MAX((Escaleta!$A$5:$A$504=$B$4)*(Escaleta!$H$5:$H$504=I$6)*(Escaleta!$K$5:$K$504&lt;&gt;"Cancelada")*(Escaleta!$C$5:$C$504&lt;$A206+Configuración!$C$7/1440)*(Escaleta!$E$5:$E$504&gt;$A206)*ROW(Escaleta!$A$5:$A$504))))</f>
        <v/>
      </c>
      <c r="U206" s="50">
        <f>IF(L206=0,"",INDEX(Escaleta!$I$1:$I$504,L206))</f>
        <v/>
      </c>
      <c r="V206" s="50">
        <f>IF(M206=0,"",INDEX(Escaleta!$I$1:$I$504,M206))</f>
        <v/>
      </c>
      <c r="W206" s="50">
        <f>IF(N206=0,"",INDEX(Escaleta!$I$1:$I$504,N206))</f>
        <v/>
      </c>
      <c r="X206" s="50">
        <f>IF(O206=0,"",INDEX(Escaleta!$I$1:$I$504,O206))</f>
        <v/>
      </c>
      <c r="Y206" s="50">
        <f>IF(P206=0,"",INDEX(Escaleta!$I$1:$I$504,P206))</f>
        <v/>
      </c>
      <c r="Z206" s="50">
        <f>IF(Q206=0,"",INDEX(Escaleta!$I$1:$I$504,Q206))</f>
        <v/>
      </c>
      <c r="AA206" s="50">
        <f>IF(R206=0,"",INDEX(Escaleta!$I$1:$I$504,R206))</f>
        <v/>
      </c>
      <c r="AB206" s="50">
        <f>IF(S206=0,"",INDEX(Escaleta!$I$1:$I$504,S206))</f>
        <v/>
      </c>
    </row>
  </sheetData>
  <mergeCells count="2">
    <mergeCell ref="B4:C4"/>
    <mergeCell ref="G1:I1"/>
  </mergeCells>
  <conditionalFormatting sqref="B7:I206">
    <cfRule type="expression" priority="1" dxfId="14">
      <formula>U7="Dirección / Presidencia"</formula>
    </cfRule>
    <cfRule type="expression" priority="2" dxfId="15">
      <formula>U7="Secretaría General"</formula>
    </cfRule>
    <cfRule type="expression" priority="3" dxfId="16">
      <formula>U7="Programa"</formula>
    </cfRule>
    <cfRule type="expression" priority="4" dxfId="17">
      <formula>U7="Logística"</formula>
    </cfRule>
    <cfRule type="expression" priority="5" dxfId="18">
      <formula>U7="Comunicación"</formula>
    </cfRule>
    <cfRule type="expression" priority="6" dxfId="19">
      <formula>U7="Finanzas"</formula>
    </cfRule>
    <cfRule type="expression" priority="7" dxfId="20">
      <formula>U7="Igualdad y Sostenibilidad"</formula>
    </cfRule>
    <cfRule type="expression" priority="8" dxfId="21">
      <formula>AND(L7&gt;0,U7="")</formula>
    </cfRule>
  </conditionalFormatting>
  <conditionalFormatting sqref="A7:A206">
    <cfRule type="expression" priority="9" dxfId="22">
      <formula>AND($A7&lt;&gt;"",MINUTE($A7)=0)</formula>
    </cfRule>
  </conditionalFormatting>
  <dataValidations count="1">
    <dataValidation sqref="B4" showDropDown="0" showInputMessage="0" showErrorMessage="0" allowBlank="1" type="list" errorStyle="warning">
      <formula1>Configuración!$F$6:$F$15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64646"/>
    <outlinePr summaryBelow="1" summaryRight="1"/>
    <pageSetUpPr/>
  </sheetPr>
  <dimension ref="A1:F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  <col width="16" customWidth="1" min="4" max="4"/>
    <col width="3" customWidth="1" min="5" max="5"/>
    <col width="40" customWidth="1" min="6" max="6"/>
  </cols>
  <sheetData>
    <row r="1" ht="42" customHeight="1">
      <c r="A1" s="28" t="inlineStr">
        <is>
          <t>Configuración</t>
        </is>
      </c>
      <c r="B1" s="1" t="n"/>
      <c r="C1" s="1" t="n"/>
      <c r="D1" s="29" t="inlineStr">
        <is>
          <t>Edita aquí listas, colores y franjas</t>
        </is>
      </c>
    </row>
    <row r="2" ht="5" customHeight="1">
      <c r="A2" s="5" t="n"/>
      <c r="B2" s="5" t="n"/>
      <c r="C2" s="5" t="n"/>
      <c r="D2" s="5" t="n"/>
      <c r="E2" s="5" t="n"/>
      <c r="F2" s="5" t="n"/>
    </row>
    <row r="4">
      <c r="B4" s="51" t="inlineStr">
        <is>
          <t>Horario de la cuadrícula</t>
        </is>
      </c>
      <c r="C4" s="52" t="n"/>
      <c r="D4" s="52" t="n"/>
      <c r="F4" s="51" t="inlineStr">
        <is>
          <t>Días destacados</t>
        </is>
      </c>
    </row>
    <row r="5">
      <c r="B5" s="53" t="inlineStr">
        <is>
          <t>Hora de inicio del día</t>
        </is>
      </c>
      <c r="C5" s="54" t="n">
        <v>0.3333333333333333</v>
      </c>
      <c r="F5" s="55" t="inlineStr">
        <is>
          <t>Fecha (aparecen en el selector de la cuadrícula)</t>
        </is>
      </c>
    </row>
    <row r="6">
      <c r="B6" s="53" t="inlineStr">
        <is>
          <t>Hora de fin del día</t>
        </is>
      </c>
      <c r="C6" s="54" t="n">
        <v>0.875</v>
      </c>
      <c r="F6" s="56" t="n">
        <v>46342</v>
      </c>
    </row>
    <row r="7">
      <c r="B7" s="53" t="inlineStr">
        <is>
          <t>Tamaño de franja (minutos)</t>
        </is>
      </c>
      <c r="C7" s="57" t="n">
        <v>10</v>
      </c>
      <c r="D7" s="27" t="inlineStr">
        <is>
          <t>5, 10, 15, 30 o 60</t>
        </is>
      </c>
      <c r="F7" s="56" t="n">
        <v>46343</v>
      </c>
    </row>
    <row r="8">
      <c r="F8" s="56" t="n">
        <v>46344</v>
      </c>
    </row>
    <row r="9">
      <c r="F9" s="56" t="n"/>
    </row>
    <row r="10">
      <c r="B10" s="51" t="inlineStr">
        <is>
          <t>Comités</t>
        </is>
      </c>
      <c r="C10" s="52" t="n"/>
      <c r="D10" s="52" t="n"/>
      <c r="F10" s="56" t="n"/>
    </row>
    <row r="11">
      <c r="B11" s="55" t="inlineStr">
        <is>
          <t>Comité</t>
        </is>
      </c>
      <c r="C11" s="55" t="inlineStr">
        <is>
          <t>Coordinación</t>
        </is>
      </c>
      <c r="D11" s="55" t="inlineStr">
        <is>
          <t>Color</t>
        </is>
      </c>
      <c r="F11" s="56" t="n"/>
    </row>
    <row r="12" ht="20" customHeight="1">
      <c r="B12" s="58" t="inlineStr">
        <is>
          <t>Dirección / Presidencia</t>
        </is>
      </c>
      <c r="C12" s="59" t="inlineStr"/>
      <c r="D12" s="60" t="inlineStr">
        <is>
          <t>#1F2A4A</t>
        </is>
      </c>
      <c r="F12" s="56" t="n"/>
    </row>
    <row r="13" ht="20" customHeight="1">
      <c r="B13" s="61" t="inlineStr">
        <is>
          <t>Secretaría General</t>
        </is>
      </c>
      <c r="C13" s="59" t="inlineStr"/>
      <c r="D13" s="62" t="inlineStr">
        <is>
          <t>#464646</t>
        </is>
      </c>
      <c r="F13" s="56" t="n"/>
    </row>
    <row r="14" ht="20" customHeight="1">
      <c r="B14" s="63" t="inlineStr">
        <is>
          <t>Programa</t>
        </is>
      </c>
      <c r="C14" s="59" t="inlineStr"/>
      <c r="D14" s="64" t="inlineStr">
        <is>
          <t>#7BAFD4</t>
        </is>
      </c>
      <c r="F14" s="56" t="n"/>
    </row>
    <row r="15" ht="20" customHeight="1">
      <c r="B15" s="65" t="inlineStr">
        <is>
          <t>Logística</t>
        </is>
      </c>
      <c r="C15" s="59" t="inlineStr"/>
      <c r="D15" s="66" t="inlineStr">
        <is>
          <t>#EAAA02</t>
        </is>
      </c>
      <c r="F15" s="56" t="n"/>
    </row>
    <row r="16" ht="20" customHeight="1">
      <c r="B16" s="67" t="inlineStr">
        <is>
          <t>Comunicación</t>
        </is>
      </c>
      <c r="C16" s="59" t="inlineStr"/>
      <c r="D16" s="68" t="inlineStr">
        <is>
          <t>#2FA6A0</t>
        </is>
      </c>
    </row>
    <row r="17" ht="20" customHeight="1">
      <c r="B17" s="69" t="inlineStr">
        <is>
          <t>Finanzas</t>
        </is>
      </c>
      <c r="C17" s="59" t="inlineStr"/>
      <c r="D17" s="70" t="inlineStr">
        <is>
          <t>#4C9A5F</t>
        </is>
      </c>
    </row>
    <row r="18" ht="20" customHeight="1">
      <c r="B18" s="71" t="inlineStr">
        <is>
          <t>Igualdad y Sostenibilidad</t>
        </is>
      </c>
      <c r="C18" s="59" t="inlineStr"/>
      <c r="D18" s="72" t="inlineStr">
        <is>
          <t>#7E5BB5</t>
        </is>
      </c>
    </row>
    <row r="20">
      <c r="B20" s="51" t="inlineStr">
        <is>
          <t>Salas y espacios (hasta 8, salen como columnas en la cuadrícula)</t>
        </is>
      </c>
      <c r="C20" s="52" t="n"/>
      <c r="D20" s="52" t="n"/>
    </row>
    <row r="21">
      <c r="B21" s="55" t="inlineStr">
        <is>
          <t>Sala o espacio</t>
        </is>
      </c>
      <c r="C21" s="55" t="inlineStr">
        <is>
          <t>Notas (aforo, equipamiento…)</t>
        </is>
      </c>
    </row>
    <row r="22">
      <c r="B22" s="59" t="inlineStr">
        <is>
          <t>Sala 1</t>
        </is>
      </c>
      <c r="C22" s="59" t="n"/>
    </row>
    <row r="23">
      <c r="B23" s="59" t="inlineStr">
        <is>
          <t>Sala 2</t>
        </is>
      </c>
      <c r="C23" s="59" t="n"/>
    </row>
    <row r="24">
      <c r="B24" s="59" t="inlineStr">
        <is>
          <t>Sala 3</t>
        </is>
      </c>
      <c r="C24" s="59" t="n"/>
    </row>
    <row r="25">
      <c r="B25" s="59" t="inlineStr">
        <is>
          <t>Hall</t>
        </is>
      </c>
      <c r="C25" s="59" t="n"/>
    </row>
    <row r="26">
      <c r="B26" s="59" t="n"/>
      <c r="C26" s="59" t="n"/>
    </row>
    <row r="27">
      <c r="B27" s="59" t="n"/>
      <c r="C27" s="59" t="n"/>
    </row>
    <row r="28">
      <c r="B28" s="59" t="n"/>
      <c r="C28" s="59" t="n"/>
    </row>
    <row r="29">
      <c r="B29" s="59" t="n"/>
      <c r="C29" s="59" t="n"/>
    </row>
    <row r="31">
      <c r="B31" s="51" t="inlineStr">
        <is>
          <t>Estados</t>
        </is>
      </c>
      <c r="C31" s="52" t="n"/>
      <c r="D31" s="52" t="n"/>
    </row>
    <row r="32">
      <c r="B32" s="55" t="inlineStr">
        <is>
          <t>Estado</t>
        </is>
      </c>
      <c r="C32" s="55" t="inlineStr">
        <is>
          <t>Significado</t>
        </is>
      </c>
    </row>
    <row r="33">
      <c r="B33" s="73" t="inlineStr">
        <is>
          <t>Borrador</t>
        </is>
      </c>
      <c r="C33" s="74" t="inlineStr">
        <is>
          <t>Idea en preparación, aún no se ha propuesto</t>
        </is>
      </c>
    </row>
    <row r="34">
      <c r="B34" s="75" t="inlineStr">
        <is>
          <t>Pendiente de visto bueno</t>
        </is>
      </c>
      <c r="C34" s="74" t="inlineStr">
        <is>
          <t>Propuesta enviada a Presidencia, esperando visto bueno</t>
        </is>
      </c>
    </row>
    <row r="35">
      <c r="B35" s="76" t="inlineStr">
        <is>
          <t>Confirmada</t>
        </is>
      </c>
      <c r="C35" s="74" t="inlineStr">
        <is>
          <t>Aprobada y lista para anunciar</t>
        </is>
      </c>
    </row>
    <row r="36">
      <c r="B36" s="77" t="inlineStr">
        <is>
          <t>Cancelada</t>
        </is>
      </c>
      <c r="C36" s="74" t="inlineStr">
        <is>
          <t>Se mantiene para el historial, no ocupa sala</t>
        </is>
      </c>
    </row>
    <row r="38">
      <c r="B38" s="51" t="inlineStr">
        <is>
          <t>Tipos de actividad</t>
        </is>
      </c>
      <c r="C38" s="52" t="n"/>
      <c r="D38" s="52" t="n"/>
    </row>
    <row r="39">
      <c r="B39" s="55" t="inlineStr">
        <is>
          <t>Tipo</t>
        </is>
      </c>
    </row>
    <row r="40">
      <c r="B40" s="59" t="inlineStr">
        <is>
          <t>Ponencia</t>
        </is>
      </c>
    </row>
    <row r="41">
      <c r="B41" s="59" t="inlineStr">
        <is>
          <t>Taller</t>
        </is>
      </c>
    </row>
    <row r="42">
      <c r="B42" s="59" t="inlineStr">
        <is>
          <t>Mesa redonda</t>
        </is>
      </c>
    </row>
    <row r="43">
      <c r="B43" s="59" t="inlineStr">
        <is>
          <t>Pausa / café</t>
        </is>
      </c>
    </row>
    <row r="44">
      <c r="B44" s="59" t="inlineStr">
        <is>
          <t>Montaje / desmontaje</t>
        </is>
      </c>
    </row>
    <row r="45">
      <c r="B45" s="59" t="inlineStr">
        <is>
          <t>Reunión</t>
        </is>
      </c>
    </row>
    <row r="46">
      <c r="B46" s="59" t="inlineStr">
        <is>
          <t>Entrega / plazo</t>
        </is>
      </c>
    </row>
    <row r="47">
      <c r="B47" s="59" t="inlineStr">
        <is>
          <t>Difusión</t>
        </is>
      </c>
    </row>
    <row r="48">
      <c r="B48" s="59" t="inlineStr">
        <is>
          <t>Otro</t>
        </is>
      </c>
    </row>
    <row r="49">
      <c r="B49" s="59" t="n"/>
    </row>
    <row r="50">
      <c r="B50" s="59" t="n"/>
    </row>
    <row r="51">
      <c r="B51" s="59" t="n"/>
    </row>
  </sheetData>
  <mergeCells count="1">
    <mergeCell ref="D1:F1"/>
  </mergeCells>
  <dataValidations count="1">
    <dataValidation sqref="C7" showDropDown="0" showInputMessage="0" showErrorMessage="0" allowBlank="0" type="list">
      <formula1>"5,10,15,30,60"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2026-10-15T08:53:53Z</dcterms:created>
  <dcterms:modified xmlns:dcterms="http://purl.org/dc/terms/" xmlns:xsi="http://www.w3.org/2001/XMLSchema-instance" xsi:type="dcterms:W3CDTF">2026-10-15T08:53:54Z</dcterms:modified>
</cp:coreProperties>
</file>